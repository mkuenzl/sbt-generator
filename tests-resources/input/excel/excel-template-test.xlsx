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nt\Desktop\SBT\sbt-generator\tests-resources\input\excel\"/>
    </mc:Choice>
  </mc:AlternateContent>
  <xr:revisionPtr revIDLastSave="0" documentId="13_ncr:1_{65258E18-A89F-4176-8F32-35AAAEDCB1FE}" xr6:coauthVersionLast="47" xr6:coauthVersionMax="47" xr10:uidLastSave="{00000000-0000-0000-0000-000000000000}"/>
  <bookViews>
    <workbookView xWindow="-120" yWindow="-120" windowWidth="29040" windowHeight="15840" tabRatio="914" xr2:uid="{1E01BCA3-435A-488D-9BFC-9A2205937763}"/>
  </bookViews>
  <sheets>
    <sheet name="Daten" sheetId="39" r:id="rId1"/>
    <sheet name="DatenGebaeude" sheetId="38" r:id="rId2"/>
    <sheet name="DatenHaufwerk" sheetId="37" r:id="rId3"/>
    <sheet name="DatenErkundungsstelle" sheetId="36" r:id="rId4"/>
    <sheet name="Chemie" sheetId="33" r:id="rId5"/>
    <sheet name="RuK" sheetId="17" r:id="rId6"/>
    <sheet name="LP" sheetId="18" r:id="rId7"/>
    <sheet name="Untersuchung ERK" sheetId="1" r:id="rId8"/>
    <sheet name="Probe ERK" sheetId="9" r:id="rId9"/>
    <sheet name="Untersuchung HAUF" sheetId="2" r:id="rId10"/>
    <sheet name="Probe HAUF" sheetId="10" r:id="rId11"/>
    <sheet name="Untersuchung GEB" sheetId="3" r:id="rId12"/>
    <sheet name="Probe GEB" sheetId="40" r:id="rId13"/>
    <sheet name="Auswahl Listen" sheetId="29" r:id="rId14"/>
  </sheets>
  <definedNames>
    <definedName name="ASBEST_AUSWAHL">OFFSET('Auswahl Listen'!$P$2,0,0,COUNTA('Auswahl Listen'!$P:$P)-1)</definedName>
    <definedName name="AUFSCHLUSS_AUSWAHL">OFFSET('Auswahl Listen'!$A$2,0,0,COUNTA('Auswahl Listen'!$A:$A)-1)</definedName>
    <definedName name="AUFSCHLUSS_OB_AUSWAHL">OFFSET('Auswahl Listen'!$Q$2,0,0,COUNTA('Auswahl Listen'!$Q:$Q)-1)</definedName>
    <definedName name="AUFSCHLUSS_TOB_AUSWAHL">OFFSET('Auswahl Listen'!$R$2,0,0,COUNTA('Auswahl Listen'!$R:$R)-1)</definedName>
    <definedName name="AUFSCHLUSS_UG_AUSWAHL">OFFSET('Auswahl Listen'!$S$2,0,0,COUNTA('Auswahl Listen'!$S:$S)-1)</definedName>
    <definedName name="BEHAELTNIS_AUSWAHL">OFFSET('Auswahl Listen'!$B$2,0,0,COUNTA('Auswahl Listen'!$B:$B)-1)</definedName>
    <definedName name="BELASTUNGSKLASSE_AUSWAHL">OFFSET('Auswahl Listen'!$U$2,0,0,COUNTA('Auswahl Listen'!$U:$U)-1)</definedName>
    <definedName name="BODENART_AUSWAHL">OFFSET('Auswahl Listen'!$D$2,0,0,COUNTA('Auswahl Listen'!$D:$D)-1)</definedName>
    <definedName name="CHEMIE_ALTHOLZ_AUSWAHL">OFFSET('Auswahl Listen'!$AG$2,0,0,COUNTA('Auswahl Listen'!$AG:$AG)-1)</definedName>
    <definedName name="CHEMIE_ID_GEB">OFFSET(Chemie!$A$2,0,0,COUNTA(Chemie!$A:$A)-1)</definedName>
    <definedName name="CHEMIE_KMF_AUSWAHL">OFFSET('Auswahl Listen'!$AF$2,0,0,COUNTA('Auswahl Listen'!$AF:$AF)-1)</definedName>
    <definedName name="CHEMIE_LFS_AUSWAHL">OFFSET('Auswahl Listen'!$AE$2,0,0,COUNTA('Auswahl Listen'!$AE:$AE)-1)</definedName>
    <definedName name="DEPV_AUSWAHL">OFFSET('Auswahl Listen'!$M$2,0,0,COUNTA('Auswahl Listen'!$M:$M)-1)</definedName>
    <definedName name="ENTNAHME_AUSWAHL">OFFSET('Auswahl Listen'!$AC$2,0,0,COUNTA('Auswahl Listen'!$AC:$AC)-1)</definedName>
    <definedName name="ENTSCHEIDUNGSHILFE_AUSWAHL">OFFSET('Auswahl Listen'!$N$2,0,0,COUNTA('Auswahl Listen'!$N:$N)-1)</definedName>
    <definedName name="ERK_ID">OFFSET('Untersuchung ERK'!$A$2,0,0,COUNTA('Untersuchung ERK'!$A:$A)-1)</definedName>
    <definedName name="ETAGEN_AUSWAHL">OFFSET('Auswahl Listen'!$AB$2,0,0,COUNTA('Auswahl Listen'!$AB:$AB)-1)</definedName>
    <definedName name="ExternalData_1" localSheetId="3" hidden="1">DatenErkundungsstelle!$A$1:$DE$52</definedName>
    <definedName name="ExternalData_2" localSheetId="2" hidden="1">DatenHaufwerk!$A$1:$BF$8</definedName>
    <definedName name="ExternalData_3" localSheetId="1" hidden="1">DatenGebaeude!$A$1:$BG$32</definedName>
    <definedName name="ExternalData_4" localSheetId="0" hidden="1">Daten!$A$1:$DX$90</definedName>
    <definedName name="FEUCHTIGKEIT_AUSWAHL">OFFSET('Auswahl Listen'!$F$2,0,0,COUNTA('Auswahl Listen'!$F:$F)-1)</definedName>
    <definedName name="FOOTNOTE_AUSWAHL">OFFSET('Auswahl Listen'!$W$2,0,0,COUNTA('Auswahl Listen'!$W:$W)-1)</definedName>
    <definedName name="GEBAUDE_AVV_AUSWAHL">OFFSET('Auswahl Listen'!$AD$2,0,0,COUNTA('Auswahl Listen'!$AD:$AD)-1)</definedName>
    <definedName name="GEBAUDE_BAUTEIL_AUSWAHL">OFFSET('Auswahl Listen'!$Y$2,0,0,COUNTA('Auswahl Listen'!$Y:$Y)-1)</definedName>
    <definedName name="GEBAUDE_CHARAKTER_AUSWAHL">OFFSET('Auswahl Listen'!$Z$2,0,0,COUNTA('Auswahl Listen'!$Z:$Z)-1)</definedName>
    <definedName name="GEBAUDE_GERUCH_AUSWAHL">OFFSET('Auswahl Listen'!$AA$2,0,0,COUNTA('Auswahl Listen'!$AA:$AA)-1)</definedName>
    <definedName name="GEBAUDE_ID">OFFSET('Untersuchung GEB'!$A$2,0,0,COUNTA('Untersuchung GEB'!$A:$A)-1)</definedName>
    <definedName name="HAUFWERK_ID">OFFSET('Untersuchung HAUF'!$A$2,0,0,COUNTA('Untersuchung HAUF'!$A:$A)-1)</definedName>
    <definedName name="JA_NEIN_AUSWAHL">OFFSET('Auswahl Listen'!$G$2,0,0,COUNTA('Auswahl Listen'!$G:$G)-1)</definedName>
    <definedName name="KONSISTENZ_AUSWAHL">OFFSET('Auswahl Listen'!$E$2,0,0,COUNTA('Auswahl Listen'!$E:$E)-1)</definedName>
    <definedName name="LAGA_BO_AUSWAHL">OFFSET('Auswahl Listen'!$I$2,0,0,COUNTA('Auswahl Listen'!$I:$I)-1)</definedName>
    <definedName name="LAGA_RC_AUSWAHL">OFFSET('Auswahl Listen'!$J$2,0,0,COUNTA('Auswahl Listen'!$J:$J)-1)</definedName>
    <definedName name="LAGA_RC_ORIENTIERUNG_AUSWAHL">OFFSET('Auswahl Listen'!$K$2,0,0,COUNTA('Auswahl Listen'!$K:$K)-1)</definedName>
    <definedName name="LP_ID">OFFSET(LP!$A$2,0,0,COUNTA(LP!$A:$A)-1)</definedName>
    <definedName name="MUFV_AUSWAHL">OFFSET('Auswahl Listen'!$H$2,0,0,COUNTA('Auswahl Listen'!$H:$H)-1)</definedName>
    <definedName name="OBERKANTE_AUSWAHL">OFFSET('Auswahl Listen'!$T$2,0,0,COUNTA('Auswahl Listen'!$T:$T)-1)</definedName>
    <definedName name="REKU_AUSWAHL">OFFSET('Auswahl Listen'!$O$2,0,0,COUNTA('Auswahl Listen'!$O:$O)-1)</definedName>
    <definedName name="RUK_ID">OFFSET(RuK!$A$2,0,0,COUNTA(RuK!$A:$A)-1)</definedName>
    <definedName name="RUK_PROBENART_AUSWAHL">OFFSET('Auswahl Listen'!$X$2,0,0,COUNTA('Auswahl Listen'!$X:$X)-1)</definedName>
    <definedName name="RUNDUNGSGRAD_AUSWAHL">OFFSET('Auswahl Listen'!$C$2,0,0,COUNTA('Auswahl Listen'!$C:$C)-1)</definedName>
    <definedName name="TL_GESTEIN_AUSWAHL">OFFSET('Auswahl Listen'!$L$2,0,0,COUNTA('Auswahl Listen'!$L:$L)-1)</definedName>
    <definedName name="X_AUSWAHL">OFFSET('Auswahl Listen'!$V$2,0,0,COUNTA('Auswahl Listen'!$V:$V)-1)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7" l="1"/>
  <c r="A41" i="9"/>
  <c r="F41" i="9"/>
  <c r="Y41" i="9" a="1"/>
  <c r="Y41" i="9" s="1"/>
  <c r="Z41" i="9"/>
  <c r="A40" i="9"/>
  <c r="F40" i="9"/>
  <c r="Y40" i="9" a="1"/>
  <c r="Y40" i="9" s="1"/>
  <c r="Z40" i="9"/>
  <c r="A39" i="9"/>
  <c r="F39" i="9"/>
  <c r="Y39" i="9" a="1"/>
  <c r="Y39" i="9" s="1"/>
  <c r="Z39" i="9"/>
  <c r="Y18" i="9" a="1"/>
  <c r="Y18" i="9" s="1"/>
  <c r="N48" i="9"/>
  <c r="N11" i="9"/>
  <c r="N2" i="9"/>
  <c r="N29" i="9"/>
  <c r="N24" i="9"/>
  <c r="N16" i="9"/>
  <c r="N42" i="9"/>
  <c r="N21" i="9"/>
  <c r="N26" i="9"/>
  <c r="A4" i="40" l="1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B4" i="3"/>
  <c r="B5" i="3"/>
  <c r="B6" i="3"/>
  <c r="B7" i="3"/>
  <c r="B8" i="3"/>
  <c r="B9" i="3"/>
  <c r="B10" i="3"/>
  <c r="B11" i="3"/>
  <c r="B12" i="3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42" i="9"/>
  <c r="F43" i="9"/>
  <c r="F44" i="9"/>
  <c r="F45" i="9"/>
  <c r="F46" i="9"/>
  <c r="F47" i="9"/>
  <c r="F48" i="9"/>
  <c r="F49" i="9"/>
  <c r="F50" i="9"/>
  <c r="F51" i="9"/>
  <c r="F52" i="9"/>
  <c r="F2" i="9"/>
  <c r="D3" i="10"/>
  <c r="D4" i="10"/>
  <c r="D5" i="10"/>
  <c r="D6" i="10"/>
  <c r="D7" i="10"/>
  <c r="D8" i="10"/>
  <c r="A4" i="10"/>
  <c r="A5" i="10"/>
  <c r="A6" i="10"/>
  <c r="A7" i="10"/>
  <c r="A8" i="10"/>
  <c r="F4" i="10"/>
  <c r="F5" i="10"/>
  <c r="F6" i="10"/>
  <c r="F7" i="10"/>
  <c r="F8" i="10"/>
  <c r="K4" i="10" a="1"/>
  <c r="K4" i="10" s="1"/>
  <c r="K5" i="10" a="1"/>
  <c r="K5" i="10" s="1"/>
  <c r="K6" i="10" a="1"/>
  <c r="K6" i="10" s="1"/>
  <c r="K7" i="10" a="1"/>
  <c r="K7" i="10" s="1"/>
  <c r="K8" i="10" a="1"/>
  <c r="K8" i="10" s="1"/>
  <c r="B3" i="2"/>
  <c r="B4" i="2"/>
  <c r="B5" i="2"/>
  <c r="B2" i="2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42" i="9"/>
  <c r="A43" i="9"/>
  <c r="A44" i="9"/>
  <c r="A45" i="9"/>
  <c r="A46" i="9"/>
  <c r="A47" i="9"/>
  <c r="A48" i="9"/>
  <c r="A49" i="9"/>
  <c r="A50" i="9"/>
  <c r="A51" i="9"/>
  <c r="A52" i="9"/>
  <c r="Y4" i="9" a="1"/>
  <c r="Y4" i="9" s="1"/>
  <c r="Y5" i="9" a="1"/>
  <c r="Y5" i="9" s="1"/>
  <c r="Y6" i="9" a="1"/>
  <c r="Y6" i="9" s="1"/>
  <c r="Y7" i="9" a="1"/>
  <c r="Y7" i="9" s="1"/>
  <c r="Y8" i="9" a="1"/>
  <c r="Y8" i="9" s="1"/>
  <c r="Y9" i="9" a="1"/>
  <c r="Y9" i="9" s="1"/>
  <c r="Y10" i="9" a="1"/>
  <c r="Y10" i="9" s="1"/>
  <c r="Y11" i="9" a="1"/>
  <c r="Y11" i="9" s="1"/>
  <c r="Y12" i="9" a="1"/>
  <c r="Y12" i="9" s="1"/>
  <c r="Y13" i="9" a="1"/>
  <c r="Y13" i="9" s="1"/>
  <c r="Y14" i="9" a="1"/>
  <c r="Y14" i="9" s="1"/>
  <c r="Y15" i="9" a="1"/>
  <c r="Y15" i="9" s="1"/>
  <c r="Y16" i="9" a="1"/>
  <c r="Y16" i="9" s="1"/>
  <c r="Y17" i="9" a="1"/>
  <c r="Y17" i="9" s="1"/>
  <c r="Y19" i="9" a="1"/>
  <c r="Y19" i="9" s="1"/>
  <c r="Y20" i="9" a="1"/>
  <c r="Y20" i="9" s="1"/>
  <c r="Y21" i="9" a="1"/>
  <c r="Y21" i="9" s="1"/>
  <c r="Y22" i="9" a="1"/>
  <c r="Y22" i="9" s="1"/>
  <c r="Y23" i="9" a="1"/>
  <c r="Y23" i="9" s="1"/>
  <c r="Y24" i="9" a="1"/>
  <c r="Y24" i="9" s="1"/>
  <c r="Y25" i="9" a="1"/>
  <c r="Y25" i="9" s="1"/>
  <c r="Y26" i="9" a="1"/>
  <c r="Y26" i="9" s="1"/>
  <c r="Y27" i="9" a="1"/>
  <c r="Y27" i="9" s="1"/>
  <c r="Y28" i="9" a="1"/>
  <c r="Y28" i="9" s="1"/>
  <c r="Y29" i="9" a="1"/>
  <c r="Y29" i="9" s="1"/>
  <c r="Y30" i="9" a="1"/>
  <c r="Y30" i="9" s="1"/>
  <c r="Y31" i="9" a="1"/>
  <c r="Y31" i="9" s="1"/>
  <c r="Y32" i="9" a="1"/>
  <c r="Y32" i="9" s="1"/>
  <c r="Y33" i="9" a="1"/>
  <c r="Y33" i="9" s="1"/>
  <c r="Y34" i="9" a="1"/>
  <c r="Y34" i="9" s="1"/>
  <c r="Y35" i="9" a="1"/>
  <c r="Y35" i="9" s="1"/>
  <c r="Y36" i="9" a="1"/>
  <c r="Y36" i="9" s="1"/>
  <c r="Y37" i="9" a="1"/>
  <c r="Y37" i="9" s="1"/>
  <c r="Y38" i="9" a="1"/>
  <c r="Y38" i="9" s="1"/>
  <c r="Y42" i="9" a="1"/>
  <c r="Y42" i="9" s="1"/>
  <c r="Y43" i="9" a="1"/>
  <c r="Y43" i="9" s="1"/>
  <c r="Y44" i="9" a="1"/>
  <c r="Y44" i="9" s="1"/>
  <c r="Y45" i="9" a="1"/>
  <c r="Y45" i="9" s="1"/>
  <c r="Y46" i="9" a="1"/>
  <c r="Y46" i="9" s="1"/>
  <c r="Y47" i="9" a="1"/>
  <c r="Y47" i="9" s="1"/>
  <c r="Y48" i="9" a="1"/>
  <c r="Y48" i="9" s="1"/>
  <c r="Y49" i="9" a="1"/>
  <c r="Y49" i="9" s="1"/>
  <c r="Y50" i="9" a="1"/>
  <c r="Y50" i="9" s="1"/>
  <c r="Y51" i="9" a="1"/>
  <c r="Y51" i="9" s="1"/>
  <c r="Y52" i="9" a="1"/>
  <c r="Y52" i="9" s="1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42" i="9"/>
  <c r="Z43" i="9"/>
  <c r="Z44" i="9"/>
  <c r="Z45" i="9"/>
  <c r="Z46" i="9"/>
  <c r="Z47" i="9"/>
  <c r="Z48" i="9"/>
  <c r="Z49" i="9"/>
  <c r="Z50" i="9"/>
  <c r="Z51" i="9"/>
  <c r="Z52" i="9"/>
  <c r="B4" i="1"/>
  <c r="B5" i="1"/>
  <c r="B6" i="1"/>
  <c r="B7" i="1"/>
  <c r="B8" i="1"/>
  <c r="B9" i="1"/>
  <c r="B10" i="1"/>
  <c r="F2" i="18"/>
  <c r="F3" i="18"/>
  <c r="F4" i="18"/>
  <c r="F5" i="18"/>
  <c r="F6" i="18"/>
  <c r="F7" i="18"/>
  <c r="F8" i="18"/>
  <c r="F9" i="18"/>
  <c r="G2" i="18"/>
  <c r="H2" i="18" s="1"/>
  <c r="I2" i="18" s="1"/>
  <c r="J2" i="18" s="1"/>
  <c r="G3" i="18"/>
  <c r="H3" i="18" s="1"/>
  <c r="I3" i="18" s="1"/>
  <c r="J3" i="18" s="1"/>
  <c r="G4" i="18"/>
  <c r="H4" i="18" s="1"/>
  <c r="I4" i="18" s="1"/>
  <c r="J4" i="18" s="1"/>
  <c r="G5" i="18"/>
  <c r="H5" i="18" s="1"/>
  <c r="I5" i="18" s="1"/>
  <c r="J5" i="18" s="1"/>
  <c r="G6" i="18"/>
  <c r="H6" i="18" s="1"/>
  <c r="I6" i="18" s="1"/>
  <c r="J6" i="18" s="1"/>
  <c r="G7" i="18"/>
  <c r="H7" i="18" s="1"/>
  <c r="I7" i="18" s="1"/>
  <c r="J7" i="18" s="1"/>
  <c r="G8" i="18"/>
  <c r="H8" i="18" s="1"/>
  <c r="I8" i="18" s="1"/>
  <c r="J8" i="18" s="1"/>
  <c r="G9" i="18"/>
  <c r="H9" i="18" s="1"/>
  <c r="I9" i="18" s="1"/>
  <c r="J9" i="18" s="1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B7" i="17"/>
  <c r="A7" i="17"/>
  <c r="B6" i="17"/>
  <c r="A6" i="17"/>
  <c r="B5" i="17"/>
  <c r="A5" i="17"/>
  <c r="B4" i="17"/>
  <c r="A4" i="17"/>
  <c r="B3" i="17"/>
  <c r="A3" i="17"/>
  <c r="B2" i="17"/>
  <c r="A2" i="17"/>
  <c r="A13" i="33"/>
  <c r="A12" i="33"/>
  <c r="A11" i="33"/>
  <c r="A10" i="33"/>
  <c r="A9" i="33"/>
  <c r="A8" i="33"/>
  <c r="A7" i="33"/>
  <c r="A6" i="33"/>
  <c r="A5" i="33"/>
  <c r="A4" i="33"/>
  <c r="A3" i="33"/>
  <c r="A2" i="33"/>
  <c r="K3" i="40" a="1"/>
  <c r="K11" i="40" a="1"/>
  <c r="K22" i="40" a="1"/>
  <c r="N27" i="9"/>
  <c r="N17" i="9"/>
  <c r="N12" i="9"/>
  <c r="N3" i="9"/>
  <c r="N22" i="9"/>
  <c r="K2" i="40" a="1"/>
  <c r="N4" i="9"/>
  <c r="K25" i="40" a="1"/>
  <c r="K5" i="40" a="1"/>
  <c r="N25" i="9"/>
  <c r="K14" i="40" a="1"/>
  <c r="N49" i="9"/>
  <c r="K15" i="40" a="1"/>
  <c r="N13" i="9"/>
  <c r="K28" i="40" a="1"/>
  <c r="N30" i="9"/>
  <c r="N43" i="9"/>
  <c r="K16" i="40" a="1"/>
  <c r="K23" i="40" a="1"/>
  <c r="K25" i="40" l="1"/>
  <c r="J25" i="40" s="1"/>
  <c r="K5" i="40"/>
  <c r="J5" i="40" s="1"/>
  <c r="K28" i="40"/>
  <c r="J28" i="40" s="1"/>
  <c r="K16" i="40"/>
  <c r="J16" i="40" s="1"/>
  <c r="K23" i="40"/>
  <c r="J23" i="40" s="1"/>
  <c r="K15" i="40"/>
  <c r="J15" i="40" s="1"/>
  <c r="K11" i="40"/>
  <c r="K3" i="40"/>
  <c r="K22" i="40"/>
  <c r="J22" i="40" s="1"/>
  <c r="K14" i="40"/>
  <c r="J14" i="40" s="1"/>
  <c r="K2" i="40"/>
  <c r="M21" i="9"/>
  <c r="M48" i="9"/>
  <c r="M29" i="9"/>
  <c r="M24" i="9"/>
  <c r="M16" i="9"/>
  <c r="M11" i="9"/>
  <c r="M42" i="9"/>
  <c r="M26" i="9"/>
  <c r="N44" i="9"/>
  <c r="N45" i="9" s="1"/>
  <c r="K29" i="40" a="1"/>
  <c r="N23" i="9"/>
  <c r="K12" i="40" a="1"/>
  <c r="N28" i="9"/>
  <c r="N14" i="9"/>
  <c r="K6" i="40" a="1"/>
  <c r="N5" i="9"/>
  <c r="K24" i="40" a="1"/>
  <c r="N18" i="9"/>
  <c r="N31" i="9"/>
  <c r="N50" i="9"/>
  <c r="K4" i="40" a="1"/>
  <c r="K17" i="40" a="1"/>
  <c r="K26" i="40" a="1"/>
  <c r="K12" i="40" l="1"/>
  <c r="K4" i="40"/>
  <c r="J4" i="40" s="1"/>
  <c r="K24" i="40"/>
  <c r="J24" i="40" s="1"/>
  <c r="K17" i="40"/>
  <c r="K29" i="40"/>
  <c r="K6" i="40"/>
  <c r="K26" i="40"/>
  <c r="J11" i="40"/>
  <c r="M25" i="9"/>
  <c r="N46" i="9"/>
  <c r="N47" i="9" s="1"/>
  <c r="K30" i="40" a="1"/>
  <c r="K18" i="40" a="1"/>
  <c r="K27" i="40" a="1"/>
  <c r="N6" i="9"/>
  <c r="N15" i="9"/>
  <c r="K7" i="40" a="1"/>
  <c r="N19" i="9"/>
  <c r="K13" i="40" a="1"/>
  <c r="N51" i="9"/>
  <c r="N32" i="9"/>
  <c r="K27" i="40" l="1"/>
  <c r="J27" i="40" s="1"/>
  <c r="K7" i="40"/>
  <c r="K18" i="40"/>
  <c r="K30" i="40"/>
  <c r="K13" i="40"/>
  <c r="J13" i="40" s="1"/>
  <c r="J26" i="40"/>
  <c r="J6" i="40"/>
  <c r="J17" i="40"/>
  <c r="J29" i="40"/>
  <c r="J12" i="40"/>
  <c r="M28" i="9"/>
  <c r="M23" i="9"/>
  <c r="M30" i="9"/>
  <c r="M43" i="9"/>
  <c r="M27" i="9"/>
  <c r="M49" i="9"/>
  <c r="M17" i="9"/>
  <c r="M22" i="9"/>
  <c r="M12" i="9"/>
  <c r="N7" i="9"/>
  <c r="N8" i="9" s="1"/>
  <c r="N9" i="9"/>
  <c r="N33" i="9"/>
  <c r="N52" i="9"/>
  <c r="K19" i="40" a="1"/>
  <c r="N20" i="9"/>
  <c r="K31" i="40" a="1"/>
  <c r="K8" i="40" a="1"/>
  <c r="K31" i="40" l="1"/>
  <c r="K19" i="40"/>
  <c r="K8" i="40"/>
  <c r="J30" i="40"/>
  <c r="J18" i="40"/>
  <c r="J7" i="40"/>
  <c r="M13" i="9"/>
  <c r="M50" i="9"/>
  <c r="M4" i="9"/>
  <c r="M18" i="9"/>
  <c r="M44" i="9"/>
  <c r="M31" i="9"/>
  <c r="N34" i="9"/>
  <c r="K20" i="40" a="1"/>
  <c r="K32" i="40" a="1"/>
  <c r="K9" i="40" a="1"/>
  <c r="N10" i="9"/>
  <c r="K20" i="40" l="1"/>
  <c r="K9" i="40"/>
  <c r="K32" i="40"/>
  <c r="J32" i="40" s="1"/>
  <c r="J19" i="40"/>
  <c r="J8" i="40"/>
  <c r="J31" i="40"/>
  <c r="M20" i="9"/>
  <c r="M52" i="9"/>
  <c r="M15" i="9"/>
  <c r="M32" i="9"/>
  <c r="M45" i="9"/>
  <c r="M19" i="9"/>
  <c r="M5" i="9"/>
  <c r="M51" i="9"/>
  <c r="M14" i="9"/>
  <c r="K21" i="40" a="1"/>
  <c r="K10" i="40" a="1"/>
  <c r="N35" i="9"/>
  <c r="K21" i="40" l="1"/>
  <c r="J21" i="40" s="1"/>
  <c r="K10" i="40"/>
  <c r="J10" i="40" s="1"/>
  <c r="J20" i="40"/>
  <c r="J9" i="40"/>
  <c r="M47" i="9"/>
  <c r="M33" i="9"/>
  <c r="M6" i="9"/>
  <c r="M46" i="9"/>
  <c r="N36" i="9"/>
  <c r="M34" i="9" l="1"/>
  <c r="M7" i="9"/>
  <c r="N37" i="9"/>
  <c r="M35" i="9" l="1"/>
  <c r="M8" i="9"/>
  <c r="N38" i="9"/>
  <c r="N39" i="9" s="1"/>
  <c r="N40" i="9" s="1"/>
  <c r="N41" i="9"/>
  <c r="M10" i="9" l="1"/>
  <c r="M36" i="9"/>
  <c r="M9" i="9"/>
  <c r="M37" i="9" l="1"/>
  <c r="A2" i="40"/>
  <c r="A3" i="40"/>
  <c r="F2" i="40"/>
  <c r="F3" i="40"/>
  <c r="D2" i="40"/>
  <c r="D3" i="40"/>
  <c r="D2" i="10"/>
  <c r="B2" i="1"/>
  <c r="B3" i="1"/>
  <c r="B2" i="3"/>
  <c r="B3" i="3"/>
  <c r="A3" i="9"/>
  <c r="Y3" i="9" a="1"/>
  <c r="Y3" i="9" s="1"/>
  <c r="Z3" i="9"/>
  <c r="K2" i="10" a="1"/>
  <c r="K2" i="10" s="1"/>
  <c r="K3" i="10" a="1"/>
  <c r="K3" i="10" s="1"/>
  <c r="A3" i="10"/>
  <c r="F3" i="10"/>
  <c r="F2" i="10"/>
  <c r="A2" i="9"/>
  <c r="A2" i="10"/>
  <c r="Y2" i="9" a="1"/>
  <c r="Y2" i="9" s="1"/>
  <c r="Z2" i="9"/>
  <c r="M38" i="9" l="1"/>
  <c r="J3" i="40"/>
  <c r="J2" i="40"/>
  <c r="M2" i="9"/>
  <c r="M39" i="9" l="1"/>
  <c r="M3" i="9"/>
  <c r="M41" i="9" l="1"/>
  <c r="M4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86F19E-398B-4E4E-BB6F-E76569D30EA8}" keepAlive="1" name="Abfrage - Combined:Data:Table (2)" description="Verbindung mit der Abfrage 'Combined:Data:Table (2)' in der Arbeitsmappe." type="5" refreshedVersion="0" background="1">
    <dbPr connection="Provider=Microsoft.Mashup.OleDb.1;Data Source=$Workbook$;Location=&quot;Combined:Data:Table (2)&quot;;Extended Properties=&quot;&quot;" command="SELECT * FROM [Combined:Data:Table (2)]"/>
  </connection>
  <connection id="2" xr16:uid="{AC28155E-8B6B-4F8F-B2F9-09854F8072E1}" keepAlive="1" name="Abfrage - PreviousGOBCluster" description="Verbindung mit der Abfrage 'PreviousGOBCluster' in der Arbeitsmappe." type="5" refreshedVersion="0" background="1">
    <dbPr connection="Provider=Microsoft.Mashup.OleDb.1;Data Source=$Workbook$;Location=PreviousGOBCluster;Extended Properties=&quot;&quot;" command="SELECT * FROM [PreviousGOBCluster]"/>
  </connection>
  <connection id="3" xr16:uid="{FF7E099E-CE12-4D06-B5F3-007F98D88024}" keepAlive="1" name="Abfrage - ProbeNumberFunction" description="Verbindung mit der Abfrage 'ProbeNumberFunction' in der Arbeitsmappe." type="5" refreshedVersion="0" background="1">
    <dbPr connection="Provider=Microsoft.Mashup.OleDb.1;Data Source=$Workbook$;Location=ProbeNumberFunction;Extended Properties=&quot;&quot;" command="SELECT * FROM [ProbeNumberFunction]"/>
  </connection>
  <connection id="4" xr16:uid="{B1326B00-0D89-44A2-A12A-9E551325015D}" keepAlive="1" name="Query - Chemie:Table" description="Connection to the 'Chemie:Table' query in the workbook." type="5" refreshedVersion="0" background="1">
    <dbPr connection="Provider=Microsoft.Mashup.OleDb.1;Data Source=$Workbook$;Location=Chemie:Table;Extended Properties=&quot;&quot;" command="SELECT * FROM [Chemie:Table]"/>
  </connection>
  <connection id="5" xr16:uid="{4B57727D-E3F0-403C-A8D3-29D03910CA2A}" keepAlive="1" name="Query - Combined:Data:Table" description="Connection to the 'Combined:Data:Table' query in the workbook." type="5" refreshedVersion="8" background="1" saveData="1">
    <dbPr connection="Provider=Microsoft.Mashup.OleDb.1;Data Source=$Workbook$;Location=Combined:Data:Table;Extended Properties=&quot;&quot;" command="SELECT * FROM [Combined:Data:Table]"/>
  </connection>
  <connection id="6" xr16:uid="{41A99563-477D-4937-8A80-6C06C641DB65}" keepAlive="1" name="Query - Erkundungsstelle:Data:Table(1)" description="Connection to the 'Erkundungsstelle:Data:Table' query in the workbook." type="5" refreshedVersion="8" background="1" saveData="1">
    <dbPr connection="Provider=Microsoft.Mashup.OleDb.1;Data Source=$Workbook$;Location=Erkundungsstelle:Data:Table;Extended Properties=&quot;&quot;" command="SELECT * FROM [Erkundungsstelle:Data:Table]"/>
  </connection>
  <connection id="7" xr16:uid="{51AB12AB-77DC-4AAE-8353-4537DFEF54A5}" keepAlive="1" name="Query - Erkundungsstelle:Sample:Table" description="Connection to the 'Erkundungsstelle:Sample:Table' query in the workbook." type="5" refreshedVersion="0" background="1">
    <dbPr connection="Provider=Microsoft.Mashup.OleDb.1;Data Source=$Workbook$;Location=Erkundungsstelle:Sample:Table;Extended Properties=&quot;&quot;" command="SELECT * FROM [Erkundungsstelle:Sample:Table]"/>
  </connection>
  <connection id="8" xr16:uid="{1E8EED15-24F8-421F-8367-7A03439CC157}" keepAlive="1" name="Query - Erkundungsstelle:Table" description="Connection to the 'Erkundungsstelle:Table' query in the workbook." type="5" refreshedVersion="0" background="1">
    <dbPr connection="Provider=Microsoft.Mashup.OleDb.1;Data Source=$Workbook$;Location=Erkundungsstelle:Table;Extended Properties=&quot;&quot;" command="SELECT * FROM [Erkundungsstelle:Table]"/>
  </connection>
  <connection id="9" xr16:uid="{D0C9B0ED-AC40-4415-A14B-E25C890615FB}" keepAlive="1" name="Query - Gebaeude:Data:Table(1)" description="Connection to the 'Gebaeude:Data:Table' query in the workbook." type="5" refreshedVersion="8" background="1" saveData="1">
    <dbPr connection="Provider=Microsoft.Mashup.OleDb.1;Data Source=$Workbook$;Location=Gebaeude:Data:Table;Extended Properties=&quot;&quot;" command="SELECT * FROM [Gebaeude:Data:Table]"/>
  </connection>
  <connection id="10" xr16:uid="{648FA309-3E1D-404E-A4A1-41B90B6F58AD}" keepAlive="1" name="Query - Gebaeude:Sample:Table" description="Connection to the 'Gebaeude:Sample:Table' query in the workbook." type="5" refreshedVersion="0" background="1">
    <dbPr connection="Provider=Microsoft.Mashup.OleDb.1;Data Source=$Workbook$;Location=Gebaeude:Sample:Table;Extended Properties=&quot;&quot;" command="SELECT * FROM [Gebaeude:Sample:Table]"/>
  </connection>
  <connection id="11" xr16:uid="{4A9DDA62-8E66-46D1-B125-BA9B704C8B05}" keepAlive="1" name="Query - Gebaeude:Table" description="Connection to the 'Gebaeude:Table' query in the workbook." type="5" refreshedVersion="0" background="1">
    <dbPr connection="Provider=Microsoft.Mashup.OleDb.1;Data Source=$Workbook$;Location=Gebaeude:Table;Extended Properties=&quot;&quot;" command="SELECT * FROM [Gebaeude:Table]"/>
  </connection>
  <connection id="12" xr16:uid="{61FD7614-45A2-4EE0-B50B-6FC34CFC9F82}" keepAlive="1" name="Query - Haufwerk:Data:Table(1)" description="Connection to the 'Haufwerk:Data:Table' query in the workbook." type="5" refreshedVersion="8" background="1" saveData="1">
    <dbPr connection="Provider=Microsoft.Mashup.OleDb.1;Data Source=$Workbook$;Location=Haufwerk:Data:Table;Extended Properties=&quot;&quot;" command="SELECT * FROM [Haufwerk:Data:Table]"/>
  </connection>
  <connection id="13" xr16:uid="{CB7B4A0E-038A-42CA-B9B3-A12EA022840B}" keepAlive="1" name="Query - Haufwerk:Sample:Table" description="Connection to the 'Haufwerk:Sample:Table' query in the workbook." type="5" refreshedVersion="0" background="1">
    <dbPr connection="Provider=Microsoft.Mashup.OleDb.1;Data Source=$Workbook$;Location=Haufwerk:Sample:Table;Extended Properties=&quot;&quot;" command="SELECT * FROM [Haufwerk:Sample:Table]"/>
  </connection>
  <connection id="14" xr16:uid="{FB87A7B4-9D49-4869-9651-D7B85ED36337}" keepAlive="1" name="Query - Haufwerk:Table" description="Connection to the 'Haufwerk:Table' query in the workbook." type="5" refreshedVersion="0" background="1">
    <dbPr connection="Provider=Microsoft.Mashup.OleDb.1;Data Source=$Workbook$;Location=Haufwerk:Table;Extended Properties=&quot;&quot;" command="SELECT * FROM [Haufwerk:Table]"/>
  </connection>
  <connection id="15" xr16:uid="{98D72CCB-682E-43BB-9EB7-5DCBD4648B9D}" keepAlive="1" name="Query - Lp:Table" description="Connection to the 'Lp:Table' query in the workbook." type="5" refreshedVersion="0" background="1">
    <dbPr connection="Provider=Microsoft.Mashup.OleDb.1;Data Source=$Workbook$;Location=Lp:Table;Extended Properties=&quot;&quot;" command="SELECT * FROM [Lp:Table]"/>
  </connection>
  <connection id="16" xr16:uid="{29046F2C-7C24-4FC8-B4CA-C6DD878A204E}" keepAlive="1" name="Query - Ruk:Table" description="Connection to the 'Ruk:Table' query in the workbook." type="5" refreshedVersion="0" background="1">
    <dbPr connection="Provider=Microsoft.Mashup.OleDb.1;Data Source=$Workbook$;Location=Ruk:Table;Extended Properties=&quot;&quot;" command="SELECT * FROM [Ruk:Table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<sst xmlns="http://schemas.openxmlformats.org/spreadsheetml/2006/main" count="8945" uniqueCount="878">
  <si>
    <t>FB1</t>
  </si>
  <si>
    <t>HW1</t>
  </si>
  <si>
    <t>GB1</t>
  </si>
  <si>
    <t>C1</t>
  </si>
  <si>
    <t>LP1</t>
  </si>
  <si>
    <t>A1</t>
  </si>
  <si>
    <t>gefährlich</t>
  </si>
  <si>
    <t>eingehalten</t>
  </si>
  <si>
    <t>Einzelprobe</t>
  </si>
  <si>
    <t>ID</t>
  </si>
  <si>
    <t>NUMMER</t>
  </si>
  <si>
    <t>DATUM</t>
  </si>
  <si>
    <t>PRUEFER</t>
  </si>
  <si>
    <t>BEREICH</t>
  </si>
  <si>
    <t>BAUTEIL</t>
  </si>
  <si>
    <t>PROBE.ID</t>
  </si>
  <si>
    <t>PROBE.NUMMER</t>
  </si>
  <si>
    <t>PROBE.DATUM</t>
  </si>
  <si>
    <t>PROBE.PRUEFER</t>
  </si>
  <si>
    <t>PROBE.BEREICH</t>
  </si>
  <si>
    <t>PROBE.BAUTEIL</t>
  </si>
  <si>
    <t>CHEMISTRY.ID</t>
  </si>
  <si>
    <t>SAMPLE.ID</t>
  </si>
  <si>
    <t>SAMPLE.PROBE.ID</t>
  </si>
  <si>
    <t>SAMPLE.CHEMISTRY.ID</t>
  </si>
  <si>
    <t>LP.ID</t>
  </si>
  <si>
    <t>RUK.ID</t>
  </si>
  <si>
    <t>SAMPLE.RUK.ID</t>
  </si>
  <si>
    <t>PARAMETER.CHEMISTRY.ID</t>
  </si>
  <si>
    <t>PARAMETER.LP.ID</t>
  </si>
  <si>
    <t>PARAMETER.RUK.ID</t>
  </si>
  <si>
    <t>ANSPRECHPARTNER</t>
  </si>
  <si>
    <t>KOORDINATEN</t>
  </si>
  <si>
    <t>ORT</t>
  </si>
  <si>
    <t>AUFSCHLUSS_OB</t>
  </si>
  <si>
    <t>AUFSCHLUSS_TOB</t>
  </si>
  <si>
    <t>AUFSCHLUSS_UG_OH_BA</t>
  </si>
  <si>
    <t>OBERKANTE</t>
  </si>
  <si>
    <t>BELASTUNGSKLASSE</t>
  </si>
  <si>
    <t>BELASTUNGSKLASSE_TAFEL</t>
  </si>
  <si>
    <t>PECH_QUALITATIV</t>
  </si>
  <si>
    <t>PECH_HALBQUANTITATIV</t>
  </si>
  <si>
    <t>PECH_QUANTITATIV</t>
  </si>
  <si>
    <t>TRAG_PLANUM</t>
  </si>
  <si>
    <t>TRAG_GRABENSOHLE</t>
  </si>
  <si>
    <t>SOHLE_TIEFE</t>
  </si>
  <si>
    <t>VERBUND_UNTERLAGE</t>
  </si>
  <si>
    <t>ZIELTIEFE</t>
  </si>
  <si>
    <t>PROBENCHARAKTER</t>
  </si>
  <si>
    <t>GERUCH</t>
  </si>
  <si>
    <t>PROBENNUMMER</t>
  </si>
  <si>
    <t>ETAGE</t>
  </si>
  <si>
    <t>RAUM</t>
  </si>
  <si>
    <t>ENTNAHME</t>
  </si>
  <si>
    <t>PROBE.ANSPRECHPARTNER</t>
  </si>
  <si>
    <t>PROBE.KOORDINATEN</t>
  </si>
  <si>
    <t>PROBE.ORT</t>
  </si>
  <si>
    <t>PROBE.AUFSCHLUSS_OB</t>
  </si>
  <si>
    <t>PROBE.AUFSCHLUSS_TOB</t>
  </si>
  <si>
    <t>PROBE.AUFSCHLUSS_UG_OH_BA</t>
  </si>
  <si>
    <t>PROBE.OBERKANTE</t>
  </si>
  <si>
    <t>PROBE.BELASTUNGSKLASSE</t>
  </si>
  <si>
    <t>PROBE.BELASTUNGSKLASSE_TAFEL</t>
  </si>
  <si>
    <t>PROBE.PECH_QUALITATIV</t>
  </si>
  <si>
    <t>PROBE.PECH_HALBQUANTITATIV</t>
  </si>
  <si>
    <t>PROBE.PECH_QUANTITATIV</t>
  </si>
  <si>
    <t>PROBE.TRAG_PLANUM</t>
  </si>
  <si>
    <t>PROBE.TRAG_GRABENSOHLE</t>
  </si>
  <si>
    <t>PROBE.SOHLE_TIEFE</t>
  </si>
  <si>
    <t>PROBE.VERBUND_UNTERLAGE</t>
  </si>
  <si>
    <t>PROBE.ZIELTIEFE</t>
  </si>
  <si>
    <t>PROBE.PROBENCHARAKTER</t>
  </si>
  <si>
    <t>PROBE.GERUCH</t>
  </si>
  <si>
    <t>PROBE.PROBENNUMMER</t>
  </si>
  <si>
    <t>PROBE.ETAGE</t>
  </si>
  <si>
    <t>PROBE.RAUM</t>
  </si>
  <si>
    <t>PROBE.ENTNAHME</t>
  </si>
  <si>
    <t>AUFSCHLUSS</t>
  </si>
  <si>
    <t>ART</t>
  </si>
  <si>
    <t>KOERNUNG</t>
  </si>
  <si>
    <t>BODENKLASSE</t>
  </si>
  <si>
    <t>DICKE</t>
  </si>
  <si>
    <t>TIEFE_START</t>
  </si>
  <si>
    <t>TIEFE_ENDE</t>
  </si>
  <si>
    <t>PECH</t>
  </si>
  <si>
    <t>PAK</t>
  </si>
  <si>
    <t>RUNDUNGSGRAD_GESTUFTHEIT</t>
  </si>
  <si>
    <t>FARBE</t>
  </si>
  <si>
    <t>BODENART</t>
  </si>
  <si>
    <t>KONSISTENZ</t>
  </si>
  <si>
    <t>FEUCHTIGKEIT</t>
  </si>
  <si>
    <t>WASSERGEHALT</t>
  </si>
  <si>
    <t>WASSERPROCTOR</t>
  </si>
  <si>
    <t>NOTIZ</t>
  </si>
  <si>
    <t>BEHAELTNIS</t>
  </si>
  <si>
    <t>ABFALLART</t>
  </si>
  <si>
    <t>KORNGROESSENVERTEILUNG</t>
  </si>
  <si>
    <t>DRUCKFESTIGKEIT</t>
  </si>
  <si>
    <t>FROSTEMPFINDLICHKEITSKLASSE</t>
  </si>
  <si>
    <t>VERDICHTUNGSFAEHIGKEIT</t>
  </si>
  <si>
    <t>HOMOGENBEREICH</t>
  </si>
  <si>
    <t>MATERIAL</t>
  </si>
  <si>
    <t>VOLUMEN</t>
  </si>
  <si>
    <t>PROBEN</t>
  </si>
  <si>
    <t>SCHADSTOFFVERDACHT</t>
  </si>
  <si>
    <t>ABFALLSCHLUESSEL_MATERIAL</t>
  </si>
  <si>
    <t>MUFV</t>
  </si>
  <si>
    <t>MUFV_PARAMETER</t>
  </si>
  <si>
    <t>LFS</t>
  </si>
  <si>
    <t>LAGA_BO</t>
  </si>
  <si>
    <t>LAGA_RC</t>
  </si>
  <si>
    <t>TL_GESTEIN</t>
  </si>
  <si>
    <t>DEPV</t>
  </si>
  <si>
    <t>ENTSCHEIDUNGSHILFE</t>
  </si>
  <si>
    <t>REKU</t>
  </si>
  <si>
    <t>ASBEST</t>
  </si>
  <si>
    <t>PCB</t>
  </si>
  <si>
    <t>BTEX</t>
  </si>
  <si>
    <t>PROBENART</t>
  </si>
  <si>
    <t>WERT</t>
  </si>
  <si>
    <t>WERT_1</t>
  </si>
  <si>
    <t>WERT_2</t>
  </si>
  <si>
    <t>WERT_3</t>
  </si>
  <si>
    <t>MITTELWERT</t>
  </si>
  <si>
    <t>SAMPLE.NUMMER</t>
  </si>
  <si>
    <t>SAMPLE.AUFSCHLUSS</t>
  </si>
  <si>
    <t>SAMPLE.ART</t>
  </si>
  <si>
    <t>SAMPLE.KOERNUNG</t>
  </si>
  <si>
    <t>SAMPLE.BODENKLASSE</t>
  </si>
  <si>
    <t>SAMPLE.DICKE</t>
  </si>
  <si>
    <t>SAMPLE.TIEFE_START</t>
  </si>
  <si>
    <t>SAMPLE.TIEFE_ENDE</t>
  </si>
  <si>
    <t>SAMPLE.PECH</t>
  </si>
  <si>
    <t>SAMPLE.RUNDUNGSGRAD_GESTUFTHEIT</t>
  </si>
  <si>
    <t>SAMPLE.FARBE</t>
  </si>
  <si>
    <t>SAMPLE.BODENART</t>
  </si>
  <si>
    <t>SAMPLE.KONSISTENZ</t>
  </si>
  <si>
    <t>SAMPLE.FEUCHTIGKEIT</t>
  </si>
  <si>
    <t>SAMPLE.WASSERGEHALT</t>
  </si>
  <si>
    <t>SAMPLE.WASSERPROCTOR</t>
  </si>
  <si>
    <t>SAMPLE.NOTIZ</t>
  </si>
  <si>
    <t>SAMPLE.BEHAELTNIS</t>
  </si>
  <si>
    <t>SAMPLE.ABFALLART</t>
  </si>
  <si>
    <t>SAMPLE.GERUCH</t>
  </si>
  <si>
    <t>SAMPLE.KORNGROESSENVERTEILUNG</t>
  </si>
  <si>
    <t>SAMPLE.DRUCKFESTIGKEIT</t>
  </si>
  <si>
    <t>SAMPLE.FROSTEMPFINDLICHKEITSKLASSE</t>
  </si>
  <si>
    <t>SAMPLE.VERDICHTUNGSFAEHIGKEIT</t>
  </si>
  <si>
    <t>SAMPLE.HOMOGENBEREICH</t>
  </si>
  <si>
    <t>SAMPLE.MATERIAL</t>
  </si>
  <si>
    <t>SAMPLE.VOLUMEN</t>
  </si>
  <si>
    <t>SAMPLE.PROBEN</t>
  </si>
  <si>
    <t>SAMPLE.ENTNAHME</t>
  </si>
  <si>
    <t>SAMPLE.SCHADSTOFFVERDACHT</t>
  </si>
  <si>
    <t>SAMPLE.ABFALLSCHLUESSEL_MATERIAL</t>
  </si>
  <si>
    <t>PARAMETER.CHEMISTRY.MUFV</t>
  </si>
  <si>
    <t>PARAMETER.CHEMISTRY.MUFV_PARAMETER</t>
  </si>
  <si>
    <t>PARAMETER.CHEMISTRY.LFS</t>
  </si>
  <si>
    <t>PARAMETER.CHEMISTRY.LAGA_BO</t>
  </si>
  <si>
    <t>PARAMETER.CHEMISTRY.LAGA_RC</t>
  </si>
  <si>
    <t>PARAMETER.CHEMISTRY.TL_GESTEIN</t>
  </si>
  <si>
    <t>PARAMETER.CHEMISTRY.DEPV</t>
  </si>
  <si>
    <t>PARAMETER.CHEMISTRY.ENTSCHEIDUNGSHILFE</t>
  </si>
  <si>
    <t>PARAMETER.CHEMISTRY.REKU</t>
  </si>
  <si>
    <t>PARAMETER.CHEMISTRY.ASBEST</t>
  </si>
  <si>
    <t>PARAMETER.CHEMISTRY.PCB</t>
  </si>
  <si>
    <t>PARAMETER.CHEMISTRY.BTEX</t>
  </si>
  <si>
    <t>PARAMETER.LP.NUMMER</t>
  </si>
  <si>
    <t>PARAMETER.LP.WERT_1</t>
  </si>
  <si>
    <t>PARAMETER.LP.WERT_2</t>
  </si>
  <si>
    <t>PARAMETER.LP.WERT_3</t>
  </si>
  <si>
    <t>PARAMETER.LP.MITTELWERT</t>
  </si>
  <si>
    <t>PARAMETER.RUK.NUMMER</t>
  </si>
  <si>
    <t>PARAMETER.RUK.PROBENART</t>
  </si>
  <si>
    <t>PARAMETER.RUK.WERT</t>
  </si>
  <si>
    <t>EOX</t>
  </si>
  <si>
    <t>ICP_SCREENING</t>
  </si>
  <si>
    <t>SULFAT</t>
  </si>
  <si>
    <t>KMF</t>
  </si>
  <si>
    <t>ALTHOLZ_VERORDNUNG</t>
  </si>
  <si>
    <t>PARAMETER.CHEMISTRY.EOX</t>
  </si>
  <si>
    <t>PARAMETER.CHEMISTRY.ICP_SCREENING</t>
  </si>
  <si>
    <t>PARAMETER.CHEMISTRY.SULFAT</t>
  </si>
  <si>
    <t>PARAMETER.CHEMISTRY.KMF</t>
  </si>
  <si>
    <t>PARAMETER.CHEMISTRY.PAK</t>
  </si>
  <si>
    <t>PARAMETER.CHEMISTRY.ALTHOLZ_VERORDNUNG</t>
  </si>
  <si>
    <t>LAGA_RC_ORIENTIERUNGSWERT</t>
  </si>
  <si>
    <t>EV</t>
  </si>
  <si>
    <t>EV85</t>
  </si>
  <si>
    <t>EV2</t>
  </si>
  <si>
    <t>EV2_SOLL</t>
  </si>
  <si>
    <t>Deckschicht</t>
  </si>
  <si>
    <t>GOB</t>
  </si>
  <si>
    <t>NEIN</t>
  </si>
  <si>
    <t>SCHICHT_AUFSCHLUSS</t>
  </si>
  <si>
    <t>SCHICHT_BEHAELTNISSE</t>
  </si>
  <si>
    <t>SCHICHT_RUNDUNGSGRAD</t>
  </si>
  <si>
    <t>SCHICHT_BODENART</t>
  </si>
  <si>
    <t>SCHICHT_KONSISTENZ</t>
  </si>
  <si>
    <t>SCHICHT_FEUCHTIGKEIT</t>
  </si>
  <si>
    <t>SCHICHT_VERDICHTUNGSFAEHIGKEIT</t>
  </si>
  <si>
    <t>CHEMIE_MUFV</t>
  </si>
  <si>
    <t>CHEMIE_LAGA_BO</t>
  </si>
  <si>
    <t>CHEMIE_LAGA_RC</t>
  </si>
  <si>
    <t>CHEMIE_LAGARC_ORIENTIERUNGSWERT</t>
  </si>
  <si>
    <t>CHEMIE_TLGESTEIN</t>
  </si>
  <si>
    <t>CHEMIE_DEPV</t>
  </si>
  <si>
    <t>CHEMIE_ENTSCHEIDUNGSHILFE</t>
  </si>
  <si>
    <t>CHEMIE_REKU</t>
  </si>
  <si>
    <t>CHEMIE_ASBEST</t>
  </si>
  <si>
    <t>ERK_AUFSCHLUSS_OB</t>
  </si>
  <si>
    <t>ERK_AUFSCHLUSS_TOB</t>
  </si>
  <si>
    <t>ERK_AUFSCHLUSS_UG_OH_BA</t>
  </si>
  <si>
    <t>ERK_OBERKANTE</t>
  </si>
  <si>
    <t>ERK_BELASTUNGSKLASSE</t>
  </si>
  <si>
    <t>AUSWAHL_X</t>
  </si>
  <si>
    <t>ERK_FOOTNOTE</t>
  </si>
  <si>
    <t>PE-Eimer 10 l</t>
  </si>
  <si>
    <t>RK, sg</t>
  </si>
  <si>
    <t>Lehme</t>
  </si>
  <si>
    <t>breiig</t>
  </si>
  <si>
    <t>&lt;</t>
  </si>
  <si>
    <t>JA</t>
  </si>
  <si>
    <t>Z0</t>
  </si>
  <si>
    <t>RC1</t>
  </si>
  <si>
    <t>Spalte 5</t>
  </si>
  <si>
    <t>nachweisbar</t>
  </si>
  <si>
    <t>Bk100</t>
  </si>
  <si>
    <t>Handschurf</t>
  </si>
  <si>
    <t>Kleinrammbohrung</t>
  </si>
  <si>
    <t>FOK</t>
  </si>
  <si>
    <t>keine</t>
  </si>
  <si>
    <t>x</t>
  </si>
  <si>
    <t>TOB</t>
  </si>
  <si>
    <t xml:space="preserve">PE-Eimer  5 l </t>
  </si>
  <si>
    <t>RK, ug</t>
  </si>
  <si>
    <t>Schluffe</t>
  </si>
  <si>
    <t>breiig-weich</t>
  </si>
  <si>
    <t>≤</t>
  </si>
  <si>
    <t>nicht gefährlich</t>
  </si>
  <si>
    <t>Z0*</t>
  </si>
  <si>
    <t>nicht eingehalten</t>
  </si>
  <si>
    <t>RC2</t>
  </si>
  <si>
    <t>DK1</t>
  </si>
  <si>
    <t>nicht nachweisbar</t>
  </si>
  <si>
    <t>Bk150</t>
  </si>
  <si>
    <t>Aufstemmen</t>
  </si>
  <si>
    <t>Baggerschurf</t>
  </si>
  <si>
    <t>GOK</t>
  </si>
  <si>
    <t>x1</t>
  </si>
  <si>
    <t>Bewertung unter Berücksichtigung der Angaben im Leitfaden Ausbauasphalt</t>
  </si>
  <si>
    <t>UG</t>
  </si>
  <si>
    <t>Bohrkiste</t>
  </si>
  <si>
    <t>BK, sg</t>
  </si>
  <si>
    <t>Sande</t>
  </si>
  <si>
    <t>weich</t>
  </si>
  <si>
    <t>~</t>
  </si>
  <si>
    <t>Z1.1</t>
  </si>
  <si>
    <t>RC3</t>
  </si>
  <si>
    <t>DK2</t>
  </si>
  <si>
    <t>Bk250</t>
  </si>
  <si>
    <t>GEW</t>
  </si>
  <si>
    <t>x2</t>
  </si>
  <si>
    <t>teilweise verfestigt</t>
  </si>
  <si>
    <t>OH</t>
  </si>
  <si>
    <t>PE-Beh. 3 l</t>
  </si>
  <si>
    <t>BK, ug</t>
  </si>
  <si>
    <t>Tone</t>
  </si>
  <si>
    <t>weich-steif</t>
  </si>
  <si>
    <t>&gt;</t>
  </si>
  <si>
    <t>Z1.2</t>
  </si>
  <si>
    <t>&gt;RC3</t>
  </si>
  <si>
    <t>Bk300</t>
  </si>
  <si>
    <t>x3</t>
  </si>
  <si>
    <t>Aufgrund der Überschreitung eines Orientierungswertes ist eine Aufbereitung (z. B. als RC-Gemisch) ggf. nicht möglich. Absprache mit Behörde empfohlen</t>
  </si>
  <si>
    <t>BESCHICHTUNG</t>
  </si>
  <si>
    <t>PE-Dose 1 l</t>
  </si>
  <si>
    <t>steif</t>
  </si>
  <si>
    <t>≥</t>
  </si>
  <si>
    <t>Z2</t>
  </si>
  <si>
    <t>Bk400</t>
  </si>
  <si>
    <t>x4</t>
  </si>
  <si>
    <t>Rammhindernis; keine tiefere Entnahme möglich</t>
  </si>
  <si>
    <t>TMHB</t>
  </si>
  <si>
    <t>steif-halbfest</t>
  </si>
  <si>
    <t>&gt;Z2</t>
  </si>
  <si>
    <t>Auskratzen</t>
  </si>
  <si>
    <t>x5</t>
  </si>
  <si>
    <t>Kabeltrasse; keine tiefere Entnahme möglich</t>
  </si>
  <si>
    <t>FUGE</t>
  </si>
  <si>
    <t>halbfest</t>
  </si>
  <si>
    <t>Aufbruch</t>
  </si>
  <si>
    <t>x6</t>
  </si>
  <si>
    <t>mit mineralischen Fremdbestandteilen &lt; 10 V.-%</t>
  </si>
  <si>
    <t>BETON</t>
  </si>
  <si>
    <t>halbfest-fest</t>
  </si>
  <si>
    <t>x7</t>
  </si>
  <si>
    <t>Ggf. günstigere Einstufung nach Rücksprache mit der Behörde möglich</t>
  </si>
  <si>
    <t>ABDICHTUNG</t>
  </si>
  <si>
    <t>fest</t>
  </si>
  <si>
    <t>Einstufung unter Vernachlässigung des Parameters elektrische Leitfähigkeit</t>
  </si>
  <si>
    <t>BANKETT</t>
  </si>
  <si>
    <t>Prüfergebnisse unter Berücksichtigung einer ca. 15 % Reduzierung aufgrund der Einspannung durch den gebundenen Oberbau</t>
  </si>
  <si>
    <t>GEBAEUDE</t>
  </si>
  <si>
    <t>PHENOLE</t>
  </si>
  <si>
    <t>ABFALLSCHLUESSEL_GEMISCH</t>
  </si>
  <si>
    <t>SAMPLE.ABFALLSCHLUESSEL_GEMISCH</t>
  </si>
  <si>
    <t>bit. Befestigung</t>
  </si>
  <si>
    <t>neutral</t>
  </si>
  <si>
    <t>PROBE.GEBAEUDE</t>
  </si>
  <si>
    <t>PARAMETER.LP.EV</t>
  </si>
  <si>
    <t>PARAMETER.LP.EV85</t>
  </si>
  <si>
    <t>PARAMETER.LP.EV2</t>
  </si>
  <si>
    <t>PARAMETER.LP.EV2_SOLL</t>
  </si>
  <si>
    <t>Sammelprobe</t>
  </si>
  <si>
    <t>0/8</t>
  </si>
  <si>
    <t>RUK_PROBENART</t>
  </si>
  <si>
    <t>HAUFWERK</t>
  </si>
  <si>
    <t>FOOTNOTE_1</t>
  </si>
  <si>
    <t>FOOTNOTE_2</t>
  </si>
  <si>
    <t>FOOTNOTE_3</t>
  </si>
  <si>
    <t>FOOTNOTE_4</t>
  </si>
  <si>
    <t>FOOTNOTE_5</t>
  </si>
  <si>
    <t>FOOTNOTE_6</t>
  </si>
  <si>
    <t>FOOTNOTE_7</t>
  </si>
  <si>
    <t>FOOTNOTE_8</t>
  </si>
  <si>
    <t>FOOTNOTE_9</t>
  </si>
  <si>
    <t>FOOTNOTE_10</t>
  </si>
  <si>
    <t>PROBE.FOOTNOTE_1</t>
  </si>
  <si>
    <t>PROBE.FOOTNOTE_2</t>
  </si>
  <si>
    <t>PROBE.FOOTNOTE_3</t>
  </si>
  <si>
    <t>PROBE.FOOTNOTE_4</t>
  </si>
  <si>
    <t>PROBE.FOOTNOTE_5</t>
  </si>
  <si>
    <t>PROBE.FOOTNOTE_6</t>
  </si>
  <si>
    <t>PROBE.FOOTNOTE_7</t>
  </si>
  <si>
    <t>PROBE.FOOTNOTE_8</t>
  </si>
  <si>
    <t>PROBE.FOOTNOTE_9</t>
  </si>
  <si>
    <t>PROBE.FOOTNOTE_10</t>
  </si>
  <si>
    <t>PARAMETER.CHEMISTRY.LAGA_RC_ORIENTIERUNGSWERT</t>
  </si>
  <si>
    <t>PARAMETER.CHEMISTRY.PHENOLE</t>
  </si>
  <si>
    <t>LBM</t>
  </si>
  <si>
    <t>Partner 1</t>
  </si>
  <si>
    <t>Prüfer 1</t>
  </si>
  <si>
    <t>32U 123456 654321</t>
  </si>
  <si>
    <t>K 35, NK 5809 018 – NK 5809 016, Stat. 0+100, FS FR Bruttig</t>
  </si>
  <si>
    <t>Tafel 1, Zeile 1</t>
  </si>
  <si>
    <t>Sohle 1</t>
  </si>
  <si>
    <t>C0</t>
  </si>
  <si>
    <t>0/11</t>
  </si>
  <si>
    <t>ST</t>
  </si>
  <si>
    <t>Antonelli</t>
  </si>
  <si>
    <t>Herr Hugo</t>
  </si>
  <si>
    <t>Erdaushub</t>
  </si>
  <si>
    <t>grün</t>
  </si>
  <si>
    <t>Bereich 1.</t>
  </si>
  <si>
    <t>RUVA</t>
  </si>
  <si>
    <t>PARAMETER.CHEMISTRY.RUVA</t>
  </si>
  <si>
    <t>Dach</t>
  </si>
  <si>
    <t>5996/20</t>
  </si>
  <si>
    <t>4. OG</t>
  </si>
  <si>
    <t>faserig</t>
  </si>
  <si>
    <t>elastisch</t>
  </si>
  <si>
    <t>Fußboden</t>
  </si>
  <si>
    <t>2. OG</t>
  </si>
  <si>
    <t>Decke</t>
  </si>
  <si>
    <t>Wand</t>
  </si>
  <si>
    <t>17 03 02</t>
  </si>
  <si>
    <t>17 06 03*</t>
  </si>
  <si>
    <t>17 09 02*</t>
  </si>
  <si>
    <t>17 09 04</t>
  </si>
  <si>
    <t>17 01 03</t>
  </si>
  <si>
    <t>17 01 07</t>
  </si>
  <si>
    <t>Fenster</t>
  </si>
  <si>
    <t>Fensterbank</t>
  </si>
  <si>
    <t>Fensterfuge</t>
  </si>
  <si>
    <t>Bodenfuge</t>
  </si>
  <si>
    <t>Kamin</t>
  </si>
  <si>
    <t>porös</t>
  </si>
  <si>
    <t>beißend</t>
  </si>
  <si>
    <t>Benzin</t>
  </si>
  <si>
    <t>Diesel</t>
  </si>
  <si>
    <t>Schwefel</t>
  </si>
  <si>
    <t>GEBÄUDE_ETAGEN</t>
  </si>
  <si>
    <t>Erdgeschoss</t>
  </si>
  <si>
    <t>1. OG</t>
  </si>
  <si>
    <t>3. OG</t>
  </si>
  <si>
    <t>5. OG</t>
  </si>
  <si>
    <t>Dachgeschoss</t>
  </si>
  <si>
    <t>Keller</t>
  </si>
  <si>
    <t>GEBÄUDE_GERUCH</t>
  </si>
  <si>
    <t>1. Parkdeck</t>
  </si>
  <si>
    <t>2. Parkdeck</t>
  </si>
  <si>
    <t>GEBÄUDE_BAUTEIL</t>
  </si>
  <si>
    <t>GEBÄUDE_CHARAKTER</t>
  </si>
  <si>
    <t>GEBÄUDE_ENTNAHME</t>
  </si>
  <si>
    <t>GEBÄUDE_AVV</t>
  </si>
  <si>
    <t>17 09 03*</t>
  </si>
  <si>
    <t>17 03 01*</t>
  </si>
  <si>
    <t>17 03 03*</t>
  </si>
  <si>
    <t>17 06 01*</t>
  </si>
  <si>
    <t>17 06 04</t>
  </si>
  <si>
    <t>17 06 05*</t>
  </si>
  <si>
    <t>17 08 01*</t>
  </si>
  <si>
    <t>17 08 02</t>
  </si>
  <si>
    <t>17 01 06*</t>
  </si>
  <si>
    <t>17 02 01</t>
  </si>
  <si>
    <t>17 02 04*</t>
  </si>
  <si>
    <t>ALTHOLZ</t>
  </si>
  <si>
    <t>auffällig</t>
  </si>
  <si>
    <t>nicht auffällig</t>
  </si>
  <si>
    <t>FCKW</t>
  </si>
  <si>
    <t>HBCD</t>
  </si>
  <si>
    <t>keine Auffälligkeit</t>
  </si>
  <si>
    <t>1 L; Cutter</t>
  </si>
  <si>
    <t>3 L; Cutter</t>
  </si>
  <si>
    <t>5 L; Cutter</t>
  </si>
  <si>
    <t>10 L; Cutter</t>
  </si>
  <si>
    <t>1 L; Flex</t>
  </si>
  <si>
    <t>3 L; Flex</t>
  </si>
  <si>
    <t>5 L; Flex</t>
  </si>
  <si>
    <t>10 L; Flex</t>
  </si>
  <si>
    <t>1 L; Stemmhammer</t>
  </si>
  <si>
    <t>3 L; Stemmhammer</t>
  </si>
  <si>
    <t>5 L; Stemmhammer</t>
  </si>
  <si>
    <t>10 L; Stemmhammer</t>
  </si>
  <si>
    <t>1 L; Stemmeisen</t>
  </si>
  <si>
    <t>3 L; Stemmeisen</t>
  </si>
  <si>
    <t>5 L; Stemmeisen</t>
  </si>
  <si>
    <t>10 L; Stemmeisen</t>
  </si>
  <si>
    <t>1 L; Schaber</t>
  </si>
  <si>
    <t>3 L; Schaber</t>
  </si>
  <si>
    <t>5 L; Schaber</t>
  </si>
  <si>
    <t>10 L; Schaber</t>
  </si>
  <si>
    <t>1 L; Bohrkern</t>
  </si>
  <si>
    <t>3 L; Bohrkern</t>
  </si>
  <si>
    <t>5 L; Bohrkern</t>
  </si>
  <si>
    <t>10 L; Bohrkern</t>
  </si>
  <si>
    <t>Auffälligkeit</t>
  </si>
  <si>
    <t>MATERIAL_VERGLEICH</t>
  </si>
  <si>
    <t>SAMPLE.MATERIAL_VERGLEICH</t>
  </si>
  <si>
    <t>PARAMETER.CHEMISTRY.FCKW</t>
  </si>
  <si>
    <t>PARAMETER.CHEMISTRY.HBCD</t>
  </si>
  <si>
    <t>MKW_C10_C22</t>
  </si>
  <si>
    <t>MKW_C10_C40</t>
  </si>
  <si>
    <t>PARAMETER.CHEMISTRY.MKW_C10_C22</t>
  </si>
  <si>
    <t>PARAMETER.CHEMISTRY.MKW_C10_C40</t>
  </si>
  <si>
    <t>SH1</t>
  </si>
  <si>
    <t>SE1</t>
  </si>
  <si>
    <t>gelb</t>
  </si>
  <si>
    <t>Beton</t>
  </si>
  <si>
    <t>5 L Behälter</t>
  </si>
  <si>
    <t>GB0</t>
  </si>
  <si>
    <t>32U 123456 654322</t>
  </si>
  <si>
    <t>1/11</t>
  </si>
  <si>
    <t>aufällig</t>
  </si>
  <si>
    <t>1/4</t>
  </si>
  <si>
    <t>Asphalt</t>
  </si>
  <si>
    <t>FB2</t>
  </si>
  <si>
    <t>Prüfer 2</t>
  </si>
  <si>
    <t>Partner 2</t>
  </si>
  <si>
    <t>Tafel 1, Zeile 2</t>
  </si>
  <si>
    <t>Sohle 2</t>
  </si>
  <si>
    <t>Hier steht der Text einer Fußnote.</t>
  </si>
  <si>
    <t>blau</t>
  </si>
  <si>
    <t>a</t>
  </si>
  <si>
    <t>b</t>
  </si>
  <si>
    <t>SH2</t>
  </si>
  <si>
    <t>1</t>
  </si>
  <si>
    <t>SE2</t>
  </si>
  <si>
    <t>ABFALLSCHLUESSEL</t>
  </si>
  <si>
    <t>PARAMETER.CHEMISTRY.ABFALLSCHLUESSEL</t>
  </si>
  <si>
    <t>SAMPLE.LP.ID</t>
  </si>
  <si>
    <t>text random</t>
  </si>
  <si>
    <t>TYPE</t>
  </si>
  <si>
    <t>HEAP</t>
  </si>
  <si>
    <t>LAYER</t>
  </si>
  <si>
    <t>PROBE.TYPE</t>
  </si>
  <si>
    <t>SAMPLE.TYPE</t>
  </si>
  <si>
    <t>BUILDING</t>
  </si>
  <si>
    <t>EXPLORATION</t>
  </si>
  <si>
    <t>PIECE</t>
  </si>
  <si>
    <t>SB1</t>
  </si>
  <si>
    <t>SB2</t>
  </si>
  <si>
    <t>0,12</t>
  </si>
  <si>
    <t>Prüfer 3</t>
  </si>
  <si>
    <t>Partner 3</t>
  </si>
  <si>
    <t>32U 123456 654323</t>
  </si>
  <si>
    <t>Tafel 1, Zeile 3</t>
  </si>
  <si>
    <t>Sohle 3</t>
  </si>
  <si>
    <t>Prüfer 4</t>
  </si>
  <si>
    <t>Partner 4</t>
  </si>
  <si>
    <t>32U 123456 654324</t>
  </si>
  <si>
    <t>Tafel 1, Zeile 4</t>
  </si>
  <si>
    <t>Sohle 4</t>
  </si>
  <si>
    <t>Prüfer 5</t>
  </si>
  <si>
    <t>Partner 5</t>
  </si>
  <si>
    <t>32U 123456 654325</t>
  </si>
  <si>
    <t>Tafel 1, Zeile 5</t>
  </si>
  <si>
    <t>Sohle 5</t>
  </si>
  <si>
    <t>Prüfer 6</t>
  </si>
  <si>
    <t>Partner 6</t>
  </si>
  <si>
    <t>32U 123456 654326</t>
  </si>
  <si>
    <t>Tafel 1, Zeile 6</t>
  </si>
  <si>
    <t>Sohle 6</t>
  </si>
  <si>
    <t>Prüfer 7</t>
  </si>
  <si>
    <t>Partner 7</t>
  </si>
  <si>
    <t>32U 123456 654327</t>
  </si>
  <si>
    <t>Tafel 1, Zeile 7</t>
  </si>
  <si>
    <t>Sohle 7</t>
  </si>
  <si>
    <t>Prüfer 8</t>
  </si>
  <si>
    <t>Partner 8</t>
  </si>
  <si>
    <t>32U 123456 654328</t>
  </si>
  <si>
    <t>Tafel 1, Zeile 8</t>
  </si>
  <si>
    <t>Sohle 8</t>
  </si>
  <si>
    <t>FB3</t>
  </si>
  <si>
    <t>FB4</t>
  </si>
  <si>
    <t>FB5</t>
  </si>
  <si>
    <t>FB6</t>
  </si>
  <si>
    <t>FB7</t>
  </si>
  <si>
    <t>FB8</t>
  </si>
  <si>
    <t>FB0</t>
  </si>
  <si>
    <t>A2</t>
  </si>
  <si>
    <t>A3</t>
  </si>
  <si>
    <t>Tragschicht</t>
  </si>
  <si>
    <t>C2</t>
  </si>
  <si>
    <t>Gem. a. G. (LS)</t>
  </si>
  <si>
    <t>C3</t>
  </si>
  <si>
    <t>Gem. a. G. (NS)</t>
  </si>
  <si>
    <t>0/9</t>
  </si>
  <si>
    <t>C4</t>
  </si>
  <si>
    <t>ST*</t>
  </si>
  <si>
    <t>C5</t>
  </si>
  <si>
    <t>C6</t>
  </si>
  <si>
    <t>GE</t>
  </si>
  <si>
    <t>C7</t>
  </si>
  <si>
    <t>SW</t>
  </si>
  <si>
    <t>Pechfreie Schicht</t>
  </si>
  <si>
    <t>OH Testschicht</t>
  </si>
  <si>
    <t>Testschicht kein Pech</t>
  </si>
  <si>
    <t>HDF</t>
  </si>
  <si>
    <t>0-4/11</t>
  </si>
  <si>
    <t>TestSchicht Beton</t>
  </si>
  <si>
    <t>Test OH</t>
  </si>
  <si>
    <t>LP3</t>
  </si>
  <si>
    <t>Gem. a. G. (CD)</t>
  </si>
  <si>
    <t>Gem. a. G. (XD)</t>
  </si>
  <si>
    <t>LP4</t>
  </si>
  <si>
    <t>Test Fuge</t>
  </si>
  <si>
    <t>LP5</t>
  </si>
  <si>
    <t>LP6</t>
  </si>
  <si>
    <t>Gem. A. G. (DT)</t>
  </si>
  <si>
    <t>braun</t>
  </si>
  <si>
    <t>schwarz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</si>
  <si>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</si>
  <si>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</si>
  <si>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</si>
  <si>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</si>
  <si>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</si>
  <si>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</si>
  <si>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</si>
  <si>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</si>
  <si>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</si>
  <si>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c</t>
  </si>
  <si>
    <t>HW2</t>
  </si>
  <si>
    <t>HW3</t>
  </si>
  <si>
    <t>HW4</t>
  </si>
  <si>
    <t>2 /11</t>
  </si>
  <si>
    <t>3 /11</t>
  </si>
  <si>
    <t>4 /11</t>
  </si>
  <si>
    <t>5 /11</t>
  </si>
  <si>
    <t>Boden</t>
  </si>
  <si>
    <t>6 /11</t>
  </si>
  <si>
    <t>grau</t>
  </si>
  <si>
    <t>rot</t>
  </si>
  <si>
    <t>weiß</t>
  </si>
  <si>
    <t>GB2</t>
  </si>
  <si>
    <t>GB3</t>
  </si>
  <si>
    <t>GB4</t>
  </si>
  <si>
    <t>GB5</t>
  </si>
  <si>
    <t>GB6</t>
  </si>
  <si>
    <t>GB7</t>
  </si>
  <si>
    <t>GB8</t>
  </si>
  <si>
    <t>GB9</t>
  </si>
  <si>
    <t>GB10</t>
  </si>
  <si>
    <t>6x6 cm Cutter</t>
  </si>
  <si>
    <t>Außenfassade</t>
  </si>
  <si>
    <t>3 L Cutter</t>
  </si>
  <si>
    <t>Rohrisolierung</t>
  </si>
  <si>
    <t>Kleber: beißender Geruch</t>
  </si>
  <si>
    <t>Stemmhammer</t>
  </si>
  <si>
    <t>3 L Stemmhammer</t>
  </si>
  <si>
    <t>WC</t>
  </si>
  <si>
    <t>5 L Stemmhammer</t>
  </si>
  <si>
    <t>C8</t>
  </si>
  <si>
    <t>C9</t>
  </si>
  <si>
    <t>C10</t>
  </si>
  <si>
    <t>C11</t>
  </si>
  <si>
    <t>Kies</t>
  </si>
  <si>
    <t>bit. Abdichtung</t>
  </si>
  <si>
    <t>Abdichtung</t>
  </si>
  <si>
    <t>rötlich, braun, schwarz</t>
  </si>
  <si>
    <t>PE-Schaum</t>
  </si>
  <si>
    <t>bit. Anstrich</t>
  </si>
  <si>
    <t>Hohlraum</t>
  </si>
  <si>
    <t>Betonträger</t>
  </si>
  <si>
    <t>Natursteinplatte</t>
  </si>
  <si>
    <t>Dämmwolle</t>
  </si>
  <si>
    <t>Fugenmasse</t>
  </si>
  <si>
    <t>Teppich</t>
  </si>
  <si>
    <t>blau, grau</t>
  </si>
  <si>
    <t>Kleber</t>
  </si>
  <si>
    <t>Gussasphalt</t>
  </si>
  <si>
    <t>Pappe</t>
  </si>
  <si>
    <t>Granulatschüttung</t>
  </si>
  <si>
    <t>Estrich</t>
  </si>
  <si>
    <t>Odenwaldplatte</t>
  </si>
  <si>
    <t>grau, schwarz</t>
  </si>
  <si>
    <t>weiß, hellgrau</t>
  </si>
  <si>
    <t>Fliese</t>
  </si>
  <si>
    <t>Mörtelkleber</t>
  </si>
  <si>
    <t>braun, grau</t>
  </si>
  <si>
    <t>Ziegelmauerwerk</t>
  </si>
  <si>
    <t>grün, weiß</t>
  </si>
  <si>
    <t>Mörtel / Estrich</t>
  </si>
  <si>
    <t>HWL</t>
  </si>
  <si>
    <t>LAGA RC</t>
  </si>
  <si>
    <t>17 05 04</t>
  </si>
  <si>
    <t>Asbest + PAK</t>
  </si>
  <si>
    <t>17 09 04 (17 06 04)</t>
  </si>
  <si>
    <t>GB3+4,C3</t>
  </si>
  <si>
    <t>GB1,C4</t>
  </si>
  <si>
    <t>Asbest0,1% + PAK</t>
  </si>
  <si>
    <t>TOC, elektr. Leitfähigkeit</t>
  </si>
  <si>
    <t>Asbest</t>
  </si>
  <si>
    <t>GB2,C9</t>
  </si>
  <si>
    <t>Asbest0,001-0,003%</t>
  </si>
  <si>
    <t>17 09 04 (17 02 01)</t>
  </si>
  <si>
    <t>SB3</t>
  </si>
  <si>
    <t>SB4</t>
  </si>
  <si>
    <t>2</t>
  </si>
  <si>
    <t>SB5</t>
  </si>
  <si>
    <t>3</t>
  </si>
  <si>
    <t>SB7</t>
  </si>
  <si>
    <t>SB6</t>
  </si>
  <si>
    <t>SB9</t>
  </si>
  <si>
    <t>SB8</t>
  </si>
  <si>
    <t>SB12</t>
  </si>
  <si>
    <t>4</t>
  </si>
  <si>
    <t>SB11</t>
  </si>
  <si>
    <t>SB10</t>
  </si>
  <si>
    <t>SB13</t>
  </si>
  <si>
    <t>5</t>
  </si>
  <si>
    <t>SB14</t>
  </si>
  <si>
    <t>SB18</t>
  </si>
  <si>
    <t>SB19</t>
  </si>
  <si>
    <t>8</t>
  </si>
  <si>
    <t>SB20</t>
  </si>
  <si>
    <t>SB15</t>
  </si>
  <si>
    <t>SB16</t>
  </si>
  <si>
    <t>6</t>
  </si>
  <si>
    <t>SB17</t>
  </si>
  <si>
    <t>7</t>
  </si>
  <si>
    <t>SB21</t>
  </si>
  <si>
    <t>9</t>
  </si>
  <si>
    <t>SB23</t>
  </si>
  <si>
    <t>10</t>
  </si>
  <si>
    <t>SB22</t>
  </si>
  <si>
    <t>SB26</t>
  </si>
  <si>
    <t>SB25</t>
  </si>
  <si>
    <t>11</t>
  </si>
  <si>
    <t>SB24</t>
  </si>
  <si>
    <t>SB30</t>
  </si>
  <si>
    <t>SB31</t>
  </si>
  <si>
    <t>SB29</t>
  </si>
  <si>
    <t>SB27</t>
  </si>
  <si>
    <t>SB28</t>
  </si>
  <si>
    <t>SH3</t>
  </si>
  <si>
    <t>SH4</t>
  </si>
  <si>
    <t>SH6</t>
  </si>
  <si>
    <t>SH5</t>
  </si>
  <si>
    <t>SH7</t>
  </si>
  <si>
    <t>SE34</t>
  </si>
  <si>
    <t>SE33</t>
  </si>
  <si>
    <t>SE35</t>
  </si>
  <si>
    <t>SE37</t>
  </si>
  <si>
    <t>SE36</t>
  </si>
  <si>
    <t>SE31</t>
  </si>
  <si>
    <t>SE32</t>
  </si>
  <si>
    <t>SE30</t>
  </si>
  <si>
    <t>SE28</t>
  </si>
  <si>
    <t>SE29</t>
  </si>
  <si>
    <t>&lt; 80</t>
  </si>
  <si>
    <t>SE5</t>
  </si>
  <si>
    <t>SE8</t>
  </si>
  <si>
    <t>SE6</t>
  </si>
  <si>
    <t>SE9</t>
  </si>
  <si>
    <t>SE7</t>
  </si>
  <si>
    <t>SE3</t>
  </si>
  <si>
    <t>SE4</t>
  </si>
  <si>
    <t>SE13</t>
  </si>
  <si>
    <t>Oberboden</t>
  </si>
  <si>
    <t>SE12</t>
  </si>
  <si>
    <t>SE10</t>
  </si>
  <si>
    <t>SE11</t>
  </si>
  <si>
    <t>SE14</t>
  </si>
  <si>
    <t>SE18</t>
  </si>
  <si>
    <t>SE17</t>
  </si>
  <si>
    <t>SE15</t>
  </si>
  <si>
    <t>SE19</t>
  </si>
  <si>
    <t>SE16</t>
  </si>
  <si>
    <t>SE22</t>
  </si>
  <si>
    <t>SE20</t>
  </si>
  <si>
    <t>SE21</t>
  </si>
  <si>
    <t>SE23</t>
  </si>
  <si>
    <t>SE24</t>
  </si>
  <si>
    <t>SE27</t>
  </si>
  <si>
    <t>SE26</t>
  </si>
  <si>
    <t>SE25</t>
  </si>
  <si>
    <t>SE41</t>
  </si>
  <si>
    <t>SE42</t>
  </si>
  <si>
    <t>SE43</t>
  </si>
  <si>
    <t>SE38</t>
  </si>
  <si>
    <t>SE39</t>
  </si>
  <si>
    <t>SE40</t>
  </si>
  <si>
    <t>SE47</t>
  </si>
  <si>
    <t>SE48</t>
  </si>
  <si>
    <t>SE46</t>
  </si>
  <si>
    <t>SE44</t>
  </si>
  <si>
    <t>SE45</t>
  </si>
  <si>
    <t>DK I</t>
  </si>
  <si>
    <t>DK II</t>
  </si>
  <si>
    <t>DK III</t>
  </si>
  <si>
    <t>&gt;DK III</t>
  </si>
  <si>
    <t>SE50</t>
  </si>
  <si>
    <t>SE51</t>
  </si>
  <si>
    <t>SE49</t>
  </si>
  <si>
    <t>Bodenklassen Test</t>
  </si>
  <si>
    <t>Homogen Test</t>
  </si>
  <si>
    <t>1,0</t>
  </si>
  <si>
    <t>A4</t>
  </si>
  <si>
    <t>A5</t>
  </si>
  <si>
    <t>A6</t>
  </si>
  <si>
    <t>EBV_BODEN</t>
  </si>
  <si>
    <t>EBV_BAUSCHUTT</t>
  </si>
  <si>
    <t>EBV_UEBERWACHUNGSWERT</t>
  </si>
  <si>
    <t>RC-3</t>
  </si>
  <si>
    <t>RC-2</t>
  </si>
  <si>
    <t>PARAMETER.CHEMISTRY.EBV_BODEN</t>
  </si>
  <si>
    <t>PARAMETER.CHEMISTRY.EBV_BAUSCHUTT</t>
  </si>
  <si>
    <t>PARAMETER.CHEMISTRY.EBV_UEBERWACHUNGSWERT</t>
  </si>
  <si>
    <t>BM-F2</t>
  </si>
  <si>
    <t>BM-0*</t>
  </si>
  <si>
    <t>RC-1</t>
  </si>
  <si>
    <t>HOS-1</t>
  </si>
  <si>
    <t>HOS-2</t>
  </si>
  <si>
    <t>GS-0</t>
  </si>
  <si>
    <t>GS-1</t>
  </si>
  <si>
    <t>GS-2</t>
  </si>
  <si>
    <t>GS-3</t>
  </si>
  <si>
    <t>HS</t>
  </si>
  <si>
    <t>SWS-1</t>
  </si>
  <si>
    <t>BM-0</t>
  </si>
  <si>
    <t>BM-F1</t>
  </si>
  <si>
    <t>BM-F3</t>
  </si>
  <si>
    <t>&gt;BM-F3</t>
  </si>
  <si>
    <t>BG-0</t>
  </si>
  <si>
    <t>BG-0*</t>
  </si>
  <si>
    <t>BG-F0*</t>
  </si>
  <si>
    <t>BG-F1</t>
  </si>
  <si>
    <t>BG-F2</t>
  </si>
  <si>
    <t>A11</t>
  </si>
  <si>
    <t>MKUEM</t>
  </si>
  <si>
    <t>PARAMETER.CHEMISTRY.MKUEM</t>
  </si>
  <si>
    <t>DK 0</t>
  </si>
  <si>
    <t>BM-F0*</t>
  </si>
  <si>
    <t>BG-F3</t>
  </si>
  <si>
    <t>&gt;BG-F3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</si>
  <si>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</si>
  <si>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</si>
  <si>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</si>
  <si>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</si>
  <si>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</si>
  <si>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</si>
  <si>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</si>
  <si>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</si>
  <si>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17.08.2021</t>
  </si>
  <si>
    <t>18.08.2021</t>
  </si>
  <si>
    <t>30.11.2020</t>
  </si>
  <si>
    <t>01.01.2020</t>
  </si>
  <si>
    <t>Index</t>
  </si>
  <si>
    <t>PROBE.NUMBER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</si>
  <si>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</si>
  <si>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</si>
  <si>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</si>
  <si>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</si>
  <si>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</si>
  <si>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</si>
  <si>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</si>
  <si>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</si>
  <si>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</si>
  <si>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</si>
  <si>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</si>
  <si>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</si>
  <si>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</si>
  <si>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</si>
  <si>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</si>
  <si>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</si>
  <si>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</si>
  <si>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</si>
  <si>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</si>
  <si>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</si>
  <si>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</si>
  <si>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</si>
  <si>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</si>
  <si>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</si>
  <si>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</si>
  <si>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</si>
  <si>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</si>
  <si>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</si>
  <si>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</si>
  <si>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</si>
  <si>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</si>
  <si>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</si>
  <si>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</si>
  <si>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</si>
  <si>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</si>
  <si>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</si>
  <si>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</si>
  <si>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</si>
  <si>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</si>
  <si>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</si>
  <si>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</si>
  <si>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</si>
  <si>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</si>
  <si>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</si>
  <si>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</si>
  <si>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</si>
  <si>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</si>
  <si>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</si>
  <si>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</si>
  <si>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</si>
  <si>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</si>
  <si>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</si>
  <si>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</si>
  <si>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</si>
  <si>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</si>
  <si>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</si>
  <si>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</si>
  <si>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</si>
  <si>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</si>
  <si>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</si>
  <si>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</si>
  <si>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</si>
  <si>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</si>
  <si>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</si>
  <si>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</si>
  <si>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</si>
  <si>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</si>
  <si>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</si>
  <si>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</si>
  <si>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</si>
  <si>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</si>
  <si>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</si>
  <si>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</si>
  <si>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</si>
  <si>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</si>
  <si>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</si>
  <si>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</si>
  <si>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</si>
  <si>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</si>
  <si>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</si>
  <si>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</si>
  <si>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</si>
  <si>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</si>
  <si>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</si>
  <si>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</si>
  <si>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</si>
  <si>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SAMPLE.NUMBER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</si>
</sst>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~\ 0"/>
    <numFmt numFmtId="166" formatCode="d\.m\.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8D097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65" fontId="0" fillId="0" borderId="0" xfId="0" applyNumberFormat="1" applyAlignment="1" applyProtection="1">
      <alignment horizontal="left"/>
      <protection locked="0"/>
    </xf>
    <xf numFmtId="2" fontId="0" fillId="0" borderId="0" xfId="0" applyNumberFormat="1" applyAlignment="1" applyProtection="1">
      <alignment horizontal="right"/>
      <protection locked="0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1" xfId="0" applyBorder="1"/>
    <xf numFmtId="0" fontId="2" fillId="2" borderId="0" xfId="0" applyFont="1" applyFill="1"/>
    <xf numFmtId="0" fontId="0" fillId="0" borderId="0" xfId="0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14" fontId="0" fillId="0" borderId="0" xfId="0" applyNumberFormat="1"/>
    <xf numFmtId="0" fontId="0" fillId="0" borderId="0" xfId="0" applyAlignment="1" applyProtection="1">
      <alignment horizontal="right"/>
      <protection locked="0"/>
    </xf>
    <xf numFmtId="49" fontId="0" fillId="0" borderId="0" xfId="0" applyNumberFormat="1"/>
    <xf numFmtId="0" fontId="0" fillId="4" borderId="0" xfId="0" applyFill="1"/>
    <xf numFmtId="14" fontId="0" fillId="4" borderId="0" xfId="0" applyNumberFormat="1" applyFill="1" applyAlignment="1" applyProtection="1">
      <alignment horizontal="left"/>
      <protection locked="0"/>
    </xf>
    <xf numFmtId="0" fontId="3" fillId="5" borderId="0" xfId="0" applyFont="1" applyFill="1"/>
    <xf numFmtId="14" fontId="3" fillId="5" borderId="0" xfId="0" applyNumberFormat="1" applyFont="1" applyFill="1" applyAlignment="1" applyProtection="1">
      <alignment horizontal="left"/>
      <protection locked="0"/>
    </xf>
    <xf numFmtId="0" fontId="3" fillId="5" borderId="0" xfId="0" applyFont="1" applyFill="1" applyAlignment="1" applyProtection="1">
      <alignment horizontal="left"/>
      <protection locked="0"/>
    </xf>
    <xf numFmtId="0" fontId="0" fillId="6" borderId="0" xfId="0" applyFill="1"/>
    <xf numFmtId="14" fontId="0" fillId="6" borderId="0" xfId="0" applyNumberFormat="1" applyFill="1" applyAlignment="1" applyProtection="1">
      <alignment horizontal="left"/>
      <protection locked="0"/>
    </xf>
    <xf numFmtId="0" fontId="0" fillId="6" borderId="0" xfId="0" applyFill="1" applyAlignment="1" applyProtection="1">
      <alignment horizontal="left"/>
      <protection locked="0"/>
    </xf>
    <xf numFmtId="49" fontId="0" fillId="6" borderId="0" xfId="0" applyNumberFormat="1" applyFill="1"/>
    <xf numFmtId="49" fontId="2" fillId="2" borderId="0" xfId="0" applyNumberFormat="1" applyFont="1" applyFill="1"/>
    <xf numFmtId="49" fontId="3" fillId="5" borderId="0" xfId="0" applyNumberFormat="1" applyFont="1" applyFill="1" applyAlignment="1" applyProtection="1">
      <alignment horizontal="left"/>
      <protection locked="0"/>
    </xf>
    <xf numFmtId="49" fontId="3" fillId="5" borderId="0" xfId="0" applyNumberFormat="1" applyFont="1" applyFill="1"/>
    <xf numFmtId="49" fontId="0" fillId="0" borderId="0" xfId="0" applyNumberFormat="1" applyAlignment="1" applyProtection="1">
      <alignment horizontal="right"/>
      <protection locked="0"/>
    </xf>
    <xf numFmtId="0" fontId="4" fillId="4" borderId="2" xfId="0" applyFont="1" applyFill="1" applyBorder="1"/>
    <xf numFmtId="14" fontId="4" fillId="4" borderId="3" xfId="0" applyNumberFormat="1" applyFont="1" applyFill="1" applyBorder="1" applyAlignment="1">
      <alignment horizontal="left"/>
    </xf>
    <xf numFmtId="0" fontId="4" fillId="4" borderId="3" xfId="0" applyFont="1" applyFill="1" applyBorder="1"/>
    <xf numFmtId="49" fontId="4" fillId="4" borderId="3" xfId="0" applyNumberFormat="1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166" fontId="0" fillId="0" borderId="0" xfId="0" applyNumberFormat="1"/>
    <xf numFmtId="0" fontId="0" fillId="7" borderId="4" xfId="0" applyFill="1" applyBorder="1"/>
    <xf numFmtId="0" fontId="0" fillId="0" borderId="4" xfId="0" applyBorder="1"/>
    <xf numFmtId="0" fontId="0" fillId="0" borderId="5" xfId="0" applyBorder="1"/>
  </cellXfs>
  <cellStyles count="1">
    <cellStyle name="Standard" xfId="0" builtinId="0"/>
  </cellStyles>
  <dxfs count="203">
    <dxf>
      <numFmt numFmtId="164" formatCode="0.0"/>
    </dxf>
    <dxf>
      <numFmt numFmtId="165" formatCode="\~\ 0"/>
    </dxf>
    <dxf>
      <numFmt numFmtId="165" formatCode="\~\ 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</dxf>
    <dxf>
      <numFmt numFmtId="0" formatCode="General"/>
    </dxf>
    <dxf>
      <protection locked="0" hidden="0"/>
    </dxf>
    <dxf>
      <protection locked="0" hidden="0"/>
    </dxf>
    <dxf>
      <protection locked="0" hidden="0"/>
    </dxf>
    <dxf>
      <numFmt numFmtId="0" formatCode="General"/>
    </dxf>
    <dxf>
      <protection locked="0" hidden="0"/>
    </dxf>
    <dxf>
      <numFmt numFmtId="0" formatCode="General"/>
    </dxf>
    <dxf>
      <protection locked="0" hidden="0"/>
    </dxf>
    <dxf>
      <protection locked="0" hidden="0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8D097A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9" formatCode="dd/mm/yyyy"/>
    </dxf>
    <dxf>
      <numFmt numFmtId="0" formatCode="General"/>
    </dxf>
    <dxf>
      <fill>
        <patternFill patternType="solid">
          <fgColor indexed="64"/>
          <bgColor rgb="FF8D097A"/>
        </patternFill>
      </fill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fill>
        <patternFill patternType="solid">
          <fgColor indexed="64"/>
          <bgColor theme="4" tint="-0.249977111117893"/>
        </patternFill>
      </fill>
    </dxf>
    <dxf>
      <alignment horizontal="right" vertical="bottom" textRotation="0" wrapText="0" indent="0" justifyLastLine="0" shrinkToFit="0" readingOrder="0"/>
      <protection locked="0" hidden="0"/>
    </dxf>
    <dxf>
      <numFmt numFmtId="19" formatCode="dd/mm/yyyy"/>
    </dxf>
    <dxf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auto="1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auto="1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</dxf>
    <dxf>
      <alignment horizontal="right" vertical="bottom" textRotation="0" wrapText="0" indent="0" justifyLastLine="0" shrinkToFit="0" readingOrder="0"/>
      <protection locked="0" hidden="0"/>
    </dxf>
    <dxf>
      <numFmt numFmtId="30" formatCode="@"/>
    </dxf>
    <dxf>
      <alignment horizontal="right" vertical="bottom" textRotation="0" wrapText="0" indent="0" justifyLastLine="0" shrinkToFit="0" readingOrder="0"/>
      <protection locked="0" hidden="0"/>
    </dxf>
    <dxf>
      <numFmt numFmtId="19" formatCode="dd/mm/yyyy"/>
    </dxf>
    <dxf>
      <numFmt numFmtId="0" formatCode="General"/>
    </dxf>
    <dxf>
      <numFmt numFmtId="0" formatCode="General"/>
    </dxf>
    <dxf>
      <numFmt numFmtId="165" formatCode="\~\ 0"/>
    </dxf>
    <dxf>
      <numFmt numFmtId="165" formatCode="\~\ 0"/>
    </dxf>
    <dxf>
      <numFmt numFmtId="0" formatCode="General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  <protection locked="0" hidden="0"/>
    </dxf>
    <dxf>
      <numFmt numFmtId="2" formatCode="0.00"/>
      <alignment horizontal="right" vertical="bottom" textRotation="0" wrapText="0" indent="0" justifyLastLine="0" shrinkToFit="0" readingOrder="0"/>
      <protection locked="0" hidden="0"/>
    </dxf>
    <dxf>
      <numFmt numFmtId="2" formatCode="0.00"/>
      <alignment horizontal="right" vertical="bottom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5" formatCode="\~\ 0"/>
    </dxf>
    <dxf>
      <numFmt numFmtId="165" formatCode="\~\ 0"/>
    </dxf>
    <dxf>
      <numFmt numFmtId="0" formatCode="General"/>
    </dxf>
    <dxf>
      <numFmt numFmtId="166" formatCode="d\.m\.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6" formatCode="d\.m\.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\.m\.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15" defaultPivotStyle="PivotStyleLight16"/>
  <colors>
    <mruColors>
      <color rgb="FF8D09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ECACB40-8DD6-457A-A38C-2B00A9343B19}" autoFormatId="16" applyNumberFormats="0" applyBorderFormats="0" applyFontFormats="0" applyPatternFormats="0" applyAlignmentFormats="0" applyWidthHeightFormats="0">
  <queryTableRefresh nextId="142">
    <queryTableFields count="128">
      <queryTableField id="1" name="PROBE.ID" tableColumnId="1"/>
      <queryTableField id="123" name="PROBE.TYPE" tableColumnId="120"/>
      <queryTableField id="2" name="PROBE.NUMMER" tableColumnId="2"/>
      <queryTableField id="4" name="PROBE.DATUM" tableColumnId="4"/>
      <queryTableField id="5" name="PROBE.PRUEFER" tableColumnId="5"/>
      <queryTableField id="6" name="PROBE.BEREICH" tableColumnId="6"/>
      <queryTableField id="7" name="PROBE.ANSPRECHPARTNER" tableColumnId="7"/>
      <queryTableField id="8" name="PROBE.KOORDINATEN" tableColumnId="8"/>
      <queryTableField id="9" name="PROBE.ORT" tableColumnId="9"/>
      <queryTableField id="10" name="PROBE.AUFSCHLUSS_OB" tableColumnId="10"/>
      <queryTableField id="11" name="PROBE.AUFSCHLUSS_TOB" tableColumnId="11"/>
      <queryTableField id="12" name="PROBE.AUFSCHLUSS_UG_OH_BA" tableColumnId="12"/>
      <queryTableField id="13" name="PROBE.OBERKANTE" tableColumnId="13"/>
      <queryTableField id="14" name="PROBE.BELASTUNGSKLASSE" tableColumnId="14"/>
      <queryTableField id="15" name="PROBE.BELASTUNGSKLASSE_TAFEL" tableColumnId="15"/>
      <queryTableField id="16" name="PROBE.PECH_QUALITATIV" tableColumnId="16"/>
      <queryTableField id="17" name="PROBE.PECH_HALBQUANTITATIV" tableColumnId="17"/>
      <queryTableField id="18" name="PROBE.PECH_QUANTITATIV" tableColumnId="18"/>
      <queryTableField id="19" name="PROBE.TRAG_PLANUM" tableColumnId="19"/>
      <queryTableField id="20" name="PROBE.TRAG_GRABENSOHLE" tableColumnId="20"/>
      <queryTableField id="21" name="PROBE.SOHLE_TIEFE" tableColumnId="21"/>
      <queryTableField id="22" name="PROBE.VERBUND_UNTERLAGE" tableColumnId="22"/>
      <queryTableField id="23" name="PROBE.ZIELTIEFE" tableColumnId="23"/>
      <queryTableField id="24" name="PROBE.FOOTNOTE_1" tableColumnId="24"/>
      <queryTableField id="25" name="PROBE.FOOTNOTE_2" tableColumnId="25"/>
      <queryTableField id="26" name="PROBE.FOOTNOTE_3" tableColumnId="26"/>
      <queryTableField id="27" name="PROBE.FOOTNOTE_4" tableColumnId="27"/>
      <queryTableField id="28" name="PROBE.FOOTNOTE_5" tableColumnId="28"/>
      <queryTableField id="29" name="PROBE.FOOTNOTE_6" tableColumnId="29"/>
      <queryTableField id="30" name="PROBE.FOOTNOTE_7" tableColumnId="30"/>
      <queryTableField id="31" name="PROBE.FOOTNOTE_8" tableColumnId="31"/>
      <queryTableField id="32" name="PROBE.FOOTNOTE_9" tableColumnId="32"/>
      <queryTableField id="33" name="PROBE.FOOTNOTE_10" tableColumnId="33"/>
      <queryTableField id="34" name="SAMPLE.ID" tableColumnId="34"/>
      <queryTableField id="35" name="SAMPLE.PROBE.ID" tableColumnId="35"/>
      <queryTableField id="36" name="SAMPLE.CHEMISTRY.ID" tableColumnId="36"/>
      <queryTableField id="37" name="SAMPLE.RUK.ID" tableColumnId="37"/>
      <queryTableField id="121" name="SAMPLE.LP.ID" tableColumnId="3"/>
      <queryTableField id="124" name="SAMPLE.TYPE" tableColumnId="121"/>
      <queryTableField id="38" name="SAMPLE.NUMMER" tableColumnId="38"/>
      <queryTableField id="140" name="SAMPLE.NUMBER" tableColumnId="129"/>
      <queryTableField id="39" name="SAMPLE.AUFSCHLUSS" tableColumnId="39"/>
      <queryTableField id="40" name="SAMPLE.ART" tableColumnId="40"/>
      <queryTableField id="41" name="SAMPLE.KOERNUNG" tableColumnId="41"/>
      <queryTableField id="42" name="SAMPLE.BODENKLASSE" tableColumnId="42"/>
      <queryTableField id="43" name="SAMPLE.DICKE" tableColumnId="43"/>
      <queryTableField id="44" name="SAMPLE.TIEFE_START" tableColumnId="44"/>
      <queryTableField id="45" name="SAMPLE.TIEFE_ENDE" tableColumnId="45"/>
      <queryTableField id="46" name="SAMPLE.PECH" tableColumnId="46"/>
      <queryTableField id="47" name="SAMPLE.RUNDUNGSGRAD_GESTUFTHEIT" tableColumnId="47"/>
      <queryTableField id="48" name="SAMPLE.FARBE" tableColumnId="48"/>
      <queryTableField id="49" name="SAMPLE.BODENART" tableColumnId="49"/>
      <queryTableField id="50" name="SAMPLE.KONSISTENZ" tableColumnId="50"/>
      <queryTableField id="51" name="SAMPLE.FEUCHTIGKEIT" tableColumnId="51"/>
      <queryTableField id="52" name="SAMPLE.WASSERGEHALT" tableColumnId="52"/>
      <queryTableField id="53" name="SAMPLE.WASSERPROCTOR" tableColumnId="53"/>
      <queryTableField id="54" name="SAMPLE.NOTIZ" tableColumnId="54"/>
      <queryTableField id="55" name="SAMPLE.BEHAELTNIS" tableColumnId="55"/>
      <queryTableField id="56" name="SAMPLE.ABFALLART" tableColumnId="56"/>
      <queryTableField id="57" name="SAMPLE.GERUCH" tableColumnId="57"/>
      <queryTableField id="58" name="SAMPLE.KORNGROESSENVERTEILUNG" tableColumnId="58"/>
      <queryTableField id="59" name="SAMPLE.DRUCKFESTIGKEIT" tableColumnId="59"/>
      <queryTableField id="60" name="SAMPLE.FROSTEMPFINDLICHKEITSKLASSE" tableColumnId="60"/>
      <queryTableField id="61" name="SAMPLE.VERDICHTUNGSFAEHIGKEIT" tableColumnId="61"/>
      <queryTableField id="62" name="SAMPLE.HOMOGENBEREICH" tableColumnId="62"/>
      <queryTableField id="63" name="PARAMETER.LP.ID" tableColumnId="63"/>
      <queryTableField id="64" name="PARAMETER.LP.NUMMER" tableColumnId="64"/>
      <queryTableField id="65" name="PARAMETER.LP.WERT_1" tableColumnId="65"/>
      <queryTableField id="66" name="PARAMETER.LP.WERT_2" tableColumnId="66"/>
      <queryTableField id="67" name="PARAMETER.LP.WERT_3" tableColumnId="67"/>
      <queryTableField id="68" name="PARAMETER.LP.MITTELWERT" tableColumnId="68"/>
      <queryTableField id="69" name="PARAMETER.LP.EV" tableColumnId="69"/>
      <queryTableField id="70" name="PARAMETER.LP.EV85" tableColumnId="70"/>
      <queryTableField id="71" name="PARAMETER.LP.EV2" tableColumnId="71"/>
      <queryTableField id="72" name="PARAMETER.LP.EV2_SOLL" tableColumnId="72"/>
      <queryTableField id="73" name="PARAMETER.RUK.ID" tableColumnId="73"/>
      <queryTableField id="74" name="PARAMETER.RUK.NUMMER" tableColumnId="74"/>
      <queryTableField id="75" name="PARAMETER.RUK.PROBENART" tableColumnId="75"/>
      <queryTableField id="76" name="PARAMETER.RUK.WERT" tableColumnId="76"/>
      <queryTableField id="77" name="PARAMETER.CHEMISTRY.ID" tableColumnId="77"/>
      <queryTableField id="78" name="PARAMETER.CHEMISTRY.MUFV" tableColumnId="78"/>
      <queryTableField id="79" name="PARAMETER.CHEMISTRY.MUFV_PARAMETER" tableColumnId="79"/>
      <queryTableField id="135" name="PARAMETER.CHEMISTRY.MKUEM" tableColumnId="122"/>
      <queryTableField id="80" name="PARAMETER.CHEMISTRY.ASBEST" tableColumnId="80"/>
      <queryTableField id="81" name="PARAMETER.CHEMISTRY.KMF" tableColumnId="81"/>
      <queryTableField id="82" name="PARAMETER.CHEMISTRY.PAK" tableColumnId="82"/>
      <queryTableField id="83" name="PARAMETER.CHEMISTRY.PCB" tableColumnId="83"/>
      <queryTableField id="84" name="PARAMETER.CHEMISTRY.BTEX" tableColumnId="84"/>
      <queryTableField id="85" name="PARAMETER.CHEMISTRY.EOX" tableColumnId="85"/>
      <queryTableField id="86" name="PARAMETER.CHEMISTRY.PHENOLE" tableColumnId="86"/>
      <queryTableField id="87" name="PARAMETER.CHEMISTRY.ICP_SCREENING" tableColumnId="87"/>
      <queryTableField id="88" name="PARAMETER.CHEMISTRY.MKW_C10_C22" tableColumnId="88"/>
      <queryTableField id="89" name="PARAMETER.CHEMISTRY.MKW_C10_C40" tableColumnId="89"/>
      <queryTableField id="90" name="PARAMETER.CHEMISTRY.SULFAT" tableColumnId="90"/>
      <queryTableField id="91" name="PARAMETER.CHEMISTRY.ALTHOLZ_VERORDNUNG" tableColumnId="91"/>
      <queryTableField id="92" name="PARAMETER.CHEMISTRY.FCKW" tableColumnId="92"/>
      <queryTableField id="93" name="PARAMETER.CHEMISTRY.HBCD" tableColumnId="93"/>
      <queryTableField id="94" name="PARAMETER.CHEMISTRY.LAGA_BO" tableColumnId="94"/>
      <queryTableField id="95" name="PARAMETER.CHEMISTRY.LAGA_RC" tableColumnId="95"/>
      <queryTableField id="96" name="PARAMETER.CHEMISTRY.LAGA_RC_ORIENTIERUNGSWERT" tableColumnId="96"/>
      <queryTableField id="128" name="PARAMETER.CHEMISTRY.EBV_BODEN" tableColumnId="123"/>
      <queryTableField id="129" name="PARAMETER.CHEMISTRY.EBV_BAUSCHUTT" tableColumnId="124"/>
      <queryTableField id="130" name="PARAMETER.CHEMISTRY.EBV_UEBERWACHUNGSWERT" tableColumnId="125"/>
      <queryTableField id="97" name="PARAMETER.CHEMISTRY.TL_GESTEIN" tableColumnId="97"/>
      <queryTableField id="98" name="PARAMETER.CHEMISTRY.DEPV" tableColumnId="98"/>
      <queryTableField id="99" name="PARAMETER.CHEMISTRY.ENTSCHEIDUNGSHILFE" tableColumnId="99"/>
      <queryTableField id="100" name="PARAMETER.CHEMISTRY.REKU" tableColumnId="100"/>
      <queryTableField id="101" name="PARAMETER.CHEMISTRY.RUVA" tableColumnId="101"/>
      <queryTableField id="119" name="PARAMETER.CHEMISTRY.ABFALLSCHLUESSEL" tableColumnId="119"/>
      <queryTableField id="102" name="PARAMETER.CHEMISTRY.LFS" tableColumnId="102"/>
      <queryTableField id="103" name="SAMPLE.VOLUMEN" tableColumnId="103"/>
      <queryTableField id="104" name="SAMPLE.PROBEN" tableColumnId="104"/>
      <queryTableField id="105" name="PROBE.BAUTEIL" tableColumnId="105"/>
      <queryTableField id="106" name="PROBE.PROBENCHARAKTER" tableColumnId="106"/>
      <queryTableField id="107" name="PROBE.GERUCH" tableColumnId="107"/>
      <queryTableField id="108" name="PROBE.PROBENNUMMER" tableColumnId="108"/>
      <queryTableField id="109" name="PROBE.GEBAEUDE" tableColumnId="109"/>
      <queryTableField id="110" name="PROBE.ETAGE" tableColumnId="110"/>
      <queryTableField id="111" name="PROBE.RAUM" tableColumnId="111"/>
      <queryTableField id="112" name="PROBE.ENTNAHME" tableColumnId="112"/>
      <queryTableField id="113" name="SAMPLE.MATERIAL" tableColumnId="113"/>
      <queryTableField id="114" name="SAMPLE.ENTNAHME" tableColumnId="114"/>
      <queryTableField id="115" name="SAMPLE.MATERIAL_VERGLEICH" tableColumnId="115"/>
      <queryTableField id="116" name="SAMPLE.SCHADSTOFFVERDACHT" tableColumnId="116"/>
      <queryTableField id="117" name="SAMPLE.ABFALLSCHLUESSEL_MATERIAL" tableColumnId="117"/>
      <queryTableField id="118" name="SAMPLE.ABFALLSCHLUESSEL_GEMISCH" tableColumnId="118"/>
      <queryTableField id="137" name="Index" tableColumnId="126"/>
      <queryTableField id="138" name="PROBE.NUMBER" tableColumnId="1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3920ED5E-76ED-4E88-A474-CB0C640AF3E5}" autoFormatId="16" applyNumberFormats="0" applyBorderFormats="0" applyFontFormats="0" applyPatternFormats="0" applyAlignmentFormats="0" applyWidthHeightFormats="0">
  <queryTableRefresh nextId="71">
    <queryTableFields count="59">
      <queryTableField id="1" name="PROBE.ID" tableColumnId="1"/>
      <queryTableField id="55" name="PROBE.TYPE" tableColumnId="12"/>
      <queryTableField id="2" name="PROBE.NUMMER" tableColumnId="2"/>
      <queryTableField id="3" name="PROBE.DATUM" tableColumnId="3"/>
      <queryTableField id="4" name="PROBE.BAUTEIL" tableColumnId="4"/>
      <queryTableField id="5" name="PROBE.PROBENCHARAKTER" tableColumnId="5"/>
      <queryTableField id="6" name="PROBE.GERUCH" tableColumnId="6"/>
      <queryTableField id="7" name="PROBE.PROBENNUMMER" tableColumnId="7"/>
      <queryTableField id="8" name="PROBE.GEBAEUDE" tableColumnId="8"/>
      <queryTableField id="9" name="PROBE.ETAGE" tableColumnId="9"/>
      <queryTableField id="10" name="PROBE.RAUM" tableColumnId="10"/>
      <queryTableField id="11" name="PROBE.ENTNAHME" tableColumnId="11"/>
      <queryTableField id="59" name="SAMPLE.ID" tableColumnId="55"/>
      <queryTableField id="13" name="SAMPLE.PROBE.ID" tableColumnId="13"/>
      <queryTableField id="14" name="SAMPLE.CHEMISTRY.ID" tableColumnId="14"/>
      <queryTableField id="56" name="SAMPLE.TYPE" tableColumnId="54"/>
      <queryTableField id="15" name="SAMPLE.NUMMER" tableColumnId="15"/>
      <queryTableField id="16" name="SAMPLE.AUFSCHLUSS" tableColumnId="16"/>
      <queryTableField id="17" name="SAMPLE.MATERIAL" tableColumnId="17"/>
      <queryTableField id="18" name="SAMPLE.FARBE" tableColumnId="18"/>
      <queryTableField id="19" name="SAMPLE.DICKE" tableColumnId="19"/>
      <queryTableField id="20" name="SAMPLE.TIEFE_START" tableColumnId="20"/>
      <queryTableField id="21" name="SAMPLE.TIEFE_ENDE" tableColumnId="21"/>
      <queryTableField id="22" name="SAMPLE.ENTNAHME" tableColumnId="22"/>
      <queryTableField id="23" name="SAMPLE.MATERIAL_VERGLEICH" tableColumnId="23"/>
      <queryTableField id="24" name="SAMPLE.SCHADSTOFFVERDACHT" tableColumnId="24"/>
      <queryTableField id="25" name="SAMPLE.ABFALLSCHLUESSEL_MATERIAL" tableColumnId="25"/>
      <queryTableField id="26" name="SAMPLE.ABFALLSCHLUESSEL_GEMISCH" tableColumnId="26"/>
      <queryTableField id="27" name="PARAMETER.CHEMISTRY.ID" tableColumnId="27"/>
      <queryTableField id="28" name="PARAMETER.CHEMISTRY.MUFV" tableColumnId="28"/>
      <queryTableField id="29" name="PARAMETER.CHEMISTRY.MUFV_PARAMETER" tableColumnId="29"/>
      <queryTableField id="69" name="PARAMETER.CHEMISTRY.MKUEM" tableColumnId="56"/>
      <queryTableField id="30" name="PARAMETER.CHEMISTRY.ASBEST" tableColumnId="30"/>
      <queryTableField id="31" name="PARAMETER.CHEMISTRY.KMF" tableColumnId="31"/>
      <queryTableField id="32" name="PARAMETER.CHEMISTRY.PAK" tableColumnId="32"/>
      <queryTableField id="33" name="PARAMETER.CHEMISTRY.PCB" tableColumnId="33"/>
      <queryTableField id="34" name="PARAMETER.CHEMISTRY.BTEX" tableColumnId="34"/>
      <queryTableField id="35" name="PARAMETER.CHEMISTRY.EOX" tableColumnId="35"/>
      <queryTableField id="36" name="PARAMETER.CHEMISTRY.PHENOLE" tableColumnId="36"/>
      <queryTableField id="37" name="PARAMETER.CHEMISTRY.ICP_SCREENING" tableColumnId="37"/>
      <queryTableField id="38" name="PARAMETER.CHEMISTRY.MKW_C10_C22" tableColumnId="38"/>
      <queryTableField id="39" name="PARAMETER.CHEMISTRY.MKW_C10_C40" tableColumnId="39"/>
      <queryTableField id="40" name="PARAMETER.CHEMISTRY.SULFAT" tableColumnId="40"/>
      <queryTableField id="41" name="PARAMETER.CHEMISTRY.ALTHOLZ_VERORDNUNG" tableColumnId="41"/>
      <queryTableField id="42" name="PARAMETER.CHEMISTRY.FCKW" tableColumnId="42"/>
      <queryTableField id="43" name="PARAMETER.CHEMISTRY.HBCD" tableColumnId="43"/>
      <queryTableField id="44" name="PARAMETER.CHEMISTRY.LAGA_BO" tableColumnId="44"/>
      <queryTableField id="45" name="PARAMETER.CHEMISTRY.LAGA_RC" tableColumnId="45"/>
      <queryTableField id="46" name="PARAMETER.CHEMISTRY.LAGA_RC_ORIENTIERUNGSWERT" tableColumnId="46"/>
      <queryTableField id="62" name="PARAMETER.CHEMISTRY.EBV_BODEN" tableColumnId="57"/>
      <queryTableField id="63" name="PARAMETER.CHEMISTRY.EBV_BAUSCHUTT" tableColumnId="58"/>
      <queryTableField id="64" name="PARAMETER.CHEMISTRY.EBV_UEBERWACHUNGSWERT" tableColumnId="59"/>
      <queryTableField id="47" name="PARAMETER.CHEMISTRY.TL_GESTEIN" tableColumnId="47"/>
      <queryTableField id="48" name="PARAMETER.CHEMISTRY.DEPV" tableColumnId="48"/>
      <queryTableField id="49" name="PARAMETER.CHEMISTRY.ENTSCHEIDUNGSHILFE" tableColumnId="49"/>
      <queryTableField id="50" name="PARAMETER.CHEMISTRY.REKU" tableColumnId="50"/>
      <queryTableField id="51" name="PARAMETER.CHEMISTRY.RUVA" tableColumnId="51"/>
      <queryTableField id="53" name="PARAMETER.CHEMISTRY.ABFALLSCHLUESSEL" tableColumnId="53"/>
      <queryTableField id="52" name="PARAMETER.CHEMISTRY.LFS" tableColumnId="5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EC4126BD-97F9-4426-AE1A-3A05FE8DD68C}" autoFormatId="16" applyNumberFormats="0" applyBorderFormats="0" applyFontFormats="0" applyPatternFormats="0" applyAlignmentFormats="0" applyWidthHeightFormats="0">
  <queryTableRefresh nextId="68">
    <queryTableFields count="58">
      <queryTableField id="1" name="PROBE.ID" tableColumnId="1"/>
      <queryTableField id="54" name="PROBE.TYPE" tableColumnId="53"/>
      <queryTableField id="2" name="PROBE.NUMMER" tableColumnId="2"/>
      <queryTableField id="3" name="PROBE.DATUM" tableColumnId="3"/>
      <queryTableField id="4" name="PROBE.PRUEFER" tableColumnId="4"/>
      <queryTableField id="5" name="PROBE.BEREICH" tableColumnId="5"/>
      <queryTableField id="6" name="PROBE.ANSPRECHPARTNER" tableColumnId="6"/>
      <queryTableField id="7" name="PROBE.KOORDINATEN" tableColumnId="7"/>
      <queryTableField id="8" name="PROBE.ORT" tableColumnId="8"/>
      <queryTableField id="9" name="SAMPLE.ID" tableColumnId="9"/>
      <queryTableField id="10" name="SAMPLE.PROBE.ID" tableColumnId="10"/>
      <queryTableField id="11" name="SAMPLE.CHEMISTRY.ID" tableColumnId="11"/>
      <queryTableField id="55" name="SAMPLE.TYPE" tableColumnId="54"/>
      <queryTableField id="12" name="SAMPLE.NUMMER" tableColumnId="12"/>
      <queryTableField id="13" name="SAMPLE.AUFSCHLUSS" tableColumnId="13"/>
      <queryTableField id="14" name="SAMPLE.ART" tableColumnId="14"/>
      <queryTableField id="15" name="SAMPLE.KOERNUNG" tableColumnId="15"/>
      <queryTableField id="16" name="SAMPLE.ABFALLART" tableColumnId="16"/>
      <queryTableField id="17" name="SAMPLE.VOLUMEN" tableColumnId="17"/>
      <queryTableField id="18" name="SAMPLE.PROBEN" tableColumnId="18"/>
      <queryTableField id="19" name="SAMPLE.BEHAELTNIS" tableColumnId="19"/>
      <queryTableField id="20" name="SAMPLE.FARBE" tableColumnId="20"/>
      <queryTableField id="21" name="SAMPLE.GERUCH" tableColumnId="21"/>
      <queryTableField id="22" name="SAMPLE.BODENKLASSE" tableColumnId="22"/>
      <queryTableField id="23" name="SAMPLE.PECH" tableColumnId="23"/>
      <queryTableField id="24" name="SAMPLE.BODENART" tableColumnId="24"/>
      <queryTableField id="25" name="SAMPLE.NOTIZ" tableColumnId="25"/>
      <queryTableField id="26" name="PARAMETER.CHEMISTRY.ID" tableColumnId="26"/>
      <queryTableField id="27" name="PARAMETER.CHEMISTRY.MUFV" tableColumnId="27"/>
      <queryTableField id="28" name="PARAMETER.CHEMISTRY.MUFV_PARAMETER" tableColumnId="28"/>
      <queryTableField id="66" name="PARAMETER.CHEMISTRY.MKUEM" tableColumnId="55"/>
      <queryTableField id="29" name="PARAMETER.CHEMISTRY.ASBEST" tableColumnId="29"/>
      <queryTableField id="30" name="PARAMETER.CHEMISTRY.KMF" tableColumnId="30"/>
      <queryTableField id="31" name="PARAMETER.CHEMISTRY.PAK" tableColumnId="31"/>
      <queryTableField id="32" name="PARAMETER.CHEMISTRY.PCB" tableColumnId="32"/>
      <queryTableField id="33" name="PARAMETER.CHEMISTRY.BTEX" tableColumnId="33"/>
      <queryTableField id="34" name="PARAMETER.CHEMISTRY.EOX" tableColumnId="34"/>
      <queryTableField id="35" name="PARAMETER.CHEMISTRY.PHENOLE" tableColumnId="35"/>
      <queryTableField id="36" name="PARAMETER.CHEMISTRY.ICP_SCREENING" tableColumnId="36"/>
      <queryTableField id="37" name="PARAMETER.CHEMISTRY.MKW_C10_C22" tableColumnId="37"/>
      <queryTableField id="38" name="PARAMETER.CHEMISTRY.MKW_C10_C40" tableColumnId="38"/>
      <queryTableField id="39" name="PARAMETER.CHEMISTRY.SULFAT" tableColumnId="39"/>
      <queryTableField id="40" name="PARAMETER.CHEMISTRY.ALTHOLZ_VERORDNUNG" tableColumnId="40"/>
      <queryTableField id="41" name="PARAMETER.CHEMISTRY.FCKW" tableColumnId="41"/>
      <queryTableField id="42" name="PARAMETER.CHEMISTRY.HBCD" tableColumnId="42"/>
      <queryTableField id="43" name="PARAMETER.CHEMISTRY.LAGA_BO" tableColumnId="43"/>
      <queryTableField id="44" name="PARAMETER.CHEMISTRY.LAGA_RC" tableColumnId="44"/>
      <queryTableField id="45" name="PARAMETER.CHEMISTRY.LAGA_RC_ORIENTIERUNGSWERT" tableColumnId="45"/>
      <queryTableField id="59" name="PARAMETER.CHEMISTRY.EBV_BODEN" tableColumnId="56"/>
      <queryTableField id="60" name="PARAMETER.CHEMISTRY.EBV_BAUSCHUTT" tableColumnId="57"/>
      <queryTableField id="61" name="PARAMETER.CHEMISTRY.EBV_UEBERWACHUNGSWERT" tableColumnId="58"/>
      <queryTableField id="46" name="PARAMETER.CHEMISTRY.TL_GESTEIN" tableColumnId="46"/>
      <queryTableField id="47" name="PARAMETER.CHEMISTRY.DEPV" tableColumnId="47"/>
      <queryTableField id="48" name="PARAMETER.CHEMISTRY.ENTSCHEIDUNGSHILFE" tableColumnId="48"/>
      <queryTableField id="49" name="PARAMETER.CHEMISTRY.REKU" tableColumnId="49"/>
      <queryTableField id="50" name="PARAMETER.CHEMISTRY.RUVA" tableColumnId="50"/>
      <queryTableField id="52" name="PARAMETER.CHEMISTRY.ABFALLSCHLUESSEL" tableColumnId="52"/>
      <queryTableField id="51" name="PARAMETER.CHEMISTRY.LFS" tableColumnId="5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9D745E6-8865-4E05-A242-22DEBFF20E5B}" autoFormatId="16" applyNumberFormats="0" applyBorderFormats="0" applyFontFormats="0" applyPatternFormats="0" applyAlignmentFormats="0" applyWidthHeightFormats="0">
  <queryTableRefresh nextId="121">
    <queryTableFields count="109">
      <queryTableField id="1" name="PROBE.ID" tableColumnId="1"/>
      <queryTableField id="107" name="PROBE.TYPE" tableColumnId="104"/>
      <queryTableField id="2" name="PROBE.NUMMER" tableColumnId="2"/>
      <queryTableField id="4" name="PROBE.DATUM" tableColumnId="4"/>
      <queryTableField id="5" name="PROBE.PRUEFER" tableColumnId="5"/>
      <queryTableField id="6" name="PROBE.BEREICH" tableColumnId="6"/>
      <queryTableField id="7" name="PROBE.ANSPRECHPARTNER" tableColumnId="7"/>
      <queryTableField id="8" name="PROBE.KOORDINATEN" tableColumnId="8"/>
      <queryTableField id="9" name="PROBE.ORT" tableColumnId="9"/>
      <queryTableField id="10" name="PROBE.AUFSCHLUSS_OB" tableColumnId="10"/>
      <queryTableField id="11" name="PROBE.AUFSCHLUSS_TOB" tableColumnId="11"/>
      <queryTableField id="12" name="PROBE.AUFSCHLUSS_UG_OH_BA" tableColumnId="12"/>
      <queryTableField id="13" name="PROBE.OBERKANTE" tableColumnId="13"/>
      <queryTableField id="14" name="PROBE.BELASTUNGSKLASSE" tableColumnId="14"/>
      <queryTableField id="15" name="PROBE.BELASTUNGSKLASSE_TAFEL" tableColumnId="15"/>
      <queryTableField id="16" name="PROBE.PECH_QUALITATIV" tableColumnId="16"/>
      <queryTableField id="17" name="PROBE.PECH_HALBQUANTITATIV" tableColumnId="17"/>
      <queryTableField id="18" name="PROBE.PECH_QUANTITATIV" tableColumnId="18"/>
      <queryTableField id="19" name="PROBE.TRAG_PLANUM" tableColumnId="19"/>
      <queryTableField id="20" name="PROBE.TRAG_GRABENSOHLE" tableColumnId="20"/>
      <queryTableField id="21" name="PROBE.SOHLE_TIEFE" tableColumnId="21"/>
      <queryTableField id="22" name="PROBE.VERBUND_UNTERLAGE" tableColumnId="22"/>
      <queryTableField id="23" name="PROBE.ZIELTIEFE" tableColumnId="23"/>
      <queryTableField id="24" name="PROBE.FOOTNOTE_1" tableColumnId="24"/>
      <queryTableField id="25" name="PROBE.FOOTNOTE_2" tableColumnId="25"/>
      <queryTableField id="26" name="PROBE.FOOTNOTE_3" tableColumnId="26"/>
      <queryTableField id="27" name="PROBE.FOOTNOTE_4" tableColumnId="27"/>
      <queryTableField id="28" name="PROBE.FOOTNOTE_5" tableColumnId="28"/>
      <queryTableField id="29" name="PROBE.FOOTNOTE_6" tableColumnId="29"/>
      <queryTableField id="30" name="PROBE.FOOTNOTE_7" tableColumnId="30"/>
      <queryTableField id="31" name="PROBE.FOOTNOTE_8" tableColumnId="31"/>
      <queryTableField id="32" name="PROBE.FOOTNOTE_9" tableColumnId="32"/>
      <queryTableField id="33" name="PROBE.FOOTNOTE_10" tableColumnId="33"/>
      <queryTableField id="34" name="SAMPLE.ID" tableColumnId="34"/>
      <queryTableField id="35" name="SAMPLE.PROBE.ID" tableColumnId="35"/>
      <queryTableField id="36" name="SAMPLE.CHEMISTRY.ID" tableColumnId="36"/>
      <queryTableField id="37" name="SAMPLE.RUK.ID" tableColumnId="37"/>
      <queryTableField id="105" name="SAMPLE.LP.ID" tableColumnId="3"/>
      <queryTableField id="108" name="SAMPLE.TYPE" tableColumnId="105"/>
      <queryTableField id="38" name="SAMPLE.NUMMER" tableColumnId="38"/>
      <queryTableField id="39" name="SAMPLE.AUFSCHLUSS" tableColumnId="39"/>
      <queryTableField id="40" name="SAMPLE.ART" tableColumnId="40"/>
      <queryTableField id="41" name="SAMPLE.KOERNUNG" tableColumnId="41"/>
      <queryTableField id="42" name="SAMPLE.BODENKLASSE" tableColumnId="42"/>
      <queryTableField id="43" name="SAMPLE.DICKE" tableColumnId="43"/>
      <queryTableField id="44" name="SAMPLE.TIEFE_START" tableColumnId="44"/>
      <queryTableField id="45" name="SAMPLE.TIEFE_ENDE" tableColumnId="45"/>
      <queryTableField id="46" name="SAMPLE.PECH" tableColumnId="46"/>
      <queryTableField id="47" name="SAMPLE.RUNDUNGSGRAD_GESTUFTHEIT" tableColumnId="47"/>
      <queryTableField id="48" name="SAMPLE.FARBE" tableColumnId="48"/>
      <queryTableField id="49" name="SAMPLE.BODENART" tableColumnId="49"/>
      <queryTableField id="50" name="SAMPLE.KONSISTENZ" tableColumnId="50"/>
      <queryTableField id="51" name="SAMPLE.FEUCHTIGKEIT" tableColumnId="51"/>
      <queryTableField id="52" name="SAMPLE.WASSERGEHALT" tableColumnId="52"/>
      <queryTableField id="53" name="SAMPLE.WASSERPROCTOR" tableColumnId="53"/>
      <queryTableField id="54" name="SAMPLE.NOTIZ" tableColumnId="54"/>
      <queryTableField id="55" name="SAMPLE.BEHAELTNIS" tableColumnId="55"/>
      <queryTableField id="56" name="SAMPLE.ABFALLART" tableColumnId="56"/>
      <queryTableField id="57" name="SAMPLE.GERUCH" tableColumnId="57"/>
      <queryTableField id="58" name="SAMPLE.KORNGROESSENVERTEILUNG" tableColumnId="58"/>
      <queryTableField id="59" name="SAMPLE.DRUCKFESTIGKEIT" tableColumnId="59"/>
      <queryTableField id="60" name="SAMPLE.FROSTEMPFINDLICHKEITSKLASSE" tableColumnId="60"/>
      <queryTableField id="61" name="SAMPLE.VERDICHTUNGSFAEHIGKEIT" tableColumnId="61"/>
      <queryTableField id="62" name="SAMPLE.HOMOGENBEREICH" tableColumnId="62"/>
      <queryTableField id="63" name="PARAMETER.LP.ID" tableColumnId="63"/>
      <queryTableField id="64" name="PARAMETER.LP.NUMMER" tableColumnId="64"/>
      <queryTableField id="65" name="PARAMETER.LP.WERT_1" tableColumnId="65"/>
      <queryTableField id="66" name="PARAMETER.LP.WERT_2" tableColumnId="66"/>
      <queryTableField id="67" name="PARAMETER.LP.WERT_3" tableColumnId="67"/>
      <queryTableField id="68" name="PARAMETER.LP.MITTELWERT" tableColumnId="68"/>
      <queryTableField id="69" name="PARAMETER.LP.EV" tableColumnId="69"/>
      <queryTableField id="70" name="PARAMETER.LP.EV85" tableColumnId="70"/>
      <queryTableField id="71" name="PARAMETER.LP.EV2" tableColumnId="71"/>
      <queryTableField id="72" name="PARAMETER.LP.EV2_SOLL" tableColumnId="72"/>
      <queryTableField id="73" name="PARAMETER.RUK.ID" tableColumnId="73"/>
      <queryTableField id="74" name="PARAMETER.RUK.NUMMER" tableColumnId="74"/>
      <queryTableField id="75" name="PARAMETER.RUK.PROBENART" tableColumnId="75"/>
      <queryTableField id="76" name="PARAMETER.RUK.WERT" tableColumnId="76"/>
      <queryTableField id="77" name="PARAMETER.CHEMISTRY.ID" tableColumnId="77"/>
      <queryTableField id="78" name="PARAMETER.CHEMISTRY.MUFV" tableColumnId="78"/>
      <queryTableField id="79" name="PARAMETER.CHEMISTRY.MUFV_PARAMETER" tableColumnId="79"/>
      <queryTableField id="119" name="PARAMETER.CHEMISTRY.MKUEM" tableColumnId="106"/>
      <queryTableField id="80" name="PARAMETER.CHEMISTRY.ASBEST" tableColumnId="80"/>
      <queryTableField id="81" name="PARAMETER.CHEMISTRY.KMF" tableColumnId="81"/>
      <queryTableField id="82" name="PARAMETER.CHEMISTRY.PAK" tableColumnId="82"/>
      <queryTableField id="83" name="PARAMETER.CHEMISTRY.PCB" tableColumnId="83"/>
      <queryTableField id="84" name="PARAMETER.CHEMISTRY.BTEX" tableColumnId="84"/>
      <queryTableField id="85" name="PARAMETER.CHEMISTRY.EOX" tableColumnId="85"/>
      <queryTableField id="86" name="PARAMETER.CHEMISTRY.PHENOLE" tableColumnId="86"/>
      <queryTableField id="87" name="PARAMETER.CHEMISTRY.ICP_SCREENING" tableColumnId="87"/>
      <queryTableField id="88" name="PARAMETER.CHEMISTRY.MKW_C10_C22" tableColumnId="88"/>
      <queryTableField id="89" name="PARAMETER.CHEMISTRY.MKW_C10_C40" tableColumnId="89"/>
      <queryTableField id="90" name="PARAMETER.CHEMISTRY.SULFAT" tableColumnId="90"/>
      <queryTableField id="91" name="PARAMETER.CHEMISTRY.ALTHOLZ_VERORDNUNG" tableColumnId="91"/>
      <queryTableField id="92" name="PARAMETER.CHEMISTRY.FCKW" tableColumnId="92"/>
      <queryTableField id="93" name="PARAMETER.CHEMISTRY.HBCD" tableColumnId="93"/>
      <queryTableField id="94" name="PARAMETER.CHEMISTRY.LAGA_BO" tableColumnId="94"/>
      <queryTableField id="95" name="PARAMETER.CHEMISTRY.LAGA_RC" tableColumnId="95"/>
      <queryTableField id="96" name="PARAMETER.CHEMISTRY.LAGA_RC_ORIENTIERUNGSWERT" tableColumnId="96"/>
      <queryTableField id="112" name="PARAMETER.CHEMISTRY.EBV_BODEN" tableColumnId="107"/>
      <queryTableField id="113" name="PARAMETER.CHEMISTRY.EBV_BAUSCHUTT" tableColumnId="108"/>
      <queryTableField id="114" name="PARAMETER.CHEMISTRY.EBV_UEBERWACHUNGSWERT" tableColumnId="109"/>
      <queryTableField id="97" name="PARAMETER.CHEMISTRY.TL_GESTEIN" tableColumnId="97"/>
      <queryTableField id="98" name="PARAMETER.CHEMISTRY.DEPV" tableColumnId="98"/>
      <queryTableField id="99" name="PARAMETER.CHEMISTRY.ENTSCHEIDUNGSHILFE" tableColumnId="99"/>
      <queryTableField id="100" name="PARAMETER.CHEMISTRY.REKU" tableColumnId="100"/>
      <queryTableField id="101" name="PARAMETER.CHEMISTRY.RUVA" tableColumnId="101"/>
      <queryTableField id="103" name="PARAMETER.CHEMISTRY.ABFALLSCHLUESSEL" tableColumnId="103"/>
      <queryTableField id="102" name="PARAMETER.CHEMISTRY.LFS" tableColumnId="10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F13263-33C7-4F2E-8421-A29B3204617B}" name="Combined_Data_Table" displayName="Combined_Data_Table" ref="A1:DX90" tableType="queryTable" totalsRowShown="0">
  <autoFilter ref="A1:DX90" xr:uid="{86F13263-33C7-4F2E-8421-A29B3204617B}"/>
  <tableColumns count="128">
    <tableColumn id="1" xr3:uid="{7437BC7E-F0F7-4E42-8B50-D15A3AE0F7A9}" uniqueName="1" name="PROBE.ID" queryTableFieldId="1"/>
    <tableColumn id="120" xr3:uid="{93F76E81-CF39-4826-A7DD-DA6DB24CEA22}" uniqueName="120" name="PROBE.TYPE" queryTableFieldId="123"/>
    <tableColumn id="2" xr3:uid="{A8D1994E-309B-47A7-8839-3552832AF1D5}" uniqueName="2" name="PROBE.NUMMER" queryTableFieldId="2"/>
    <tableColumn id="4" xr3:uid="{CB0BB6A9-A159-4FD5-A9F6-BA415CD90ADE}" uniqueName="4" name="PROBE.DATUM" queryTableFieldId="4" dataDxfId="202"/>
    <tableColumn id="5" xr3:uid="{5B7AE8ED-7C43-4616-AAD0-88E760527C0A}" uniqueName="5" name="PROBE.PRUEFER" queryTableFieldId="5"/>
    <tableColumn id="6" xr3:uid="{FE1DF9C1-CD9C-4099-8E88-DFC84E455AC2}" uniqueName="6" name="PROBE.BEREICH" queryTableFieldId="6"/>
    <tableColumn id="7" xr3:uid="{5EB925E4-007A-44BA-900F-6DCE15EF2A46}" uniqueName="7" name="PROBE.ANSPRECHPARTNER" queryTableFieldId="7"/>
    <tableColumn id="8" xr3:uid="{E5A22942-EE2B-47B8-B8E5-5670929471DE}" uniqueName="8" name="PROBE.KOORDINATEN" queryTableFieldId="8"/>
    <tableColumn id="9" xr3:uid="{6E91AA0B-C640-43D4-A47A-A31B72AE025E}" uniqueName="9" name="PROBE.ORT" queryTableFieldId="9"/>
    <tableColumn id="10" xr3:uid="{8C3EE11A-DAC4-48BA-B9CE-6AE1BFE0C68B}" uniqueName="10" name="PROBE.AUFSCHLUSS_OB" queryTableFieldId="10"/>
    <tableColumn id="11" xr3:uid="{C528E7B9-6758-445F-BC7A-6AD7951865F6}" uniqueName="11" name="PROBE.AUFSCHLUSS_TOB" queryTableFieldId="11"/>
    <tableColumn id="12" xr3:uid="{C4C6357A-0D6F-429A-BCBD-7B4755FA461E}" uniqueName="12" name="PROBE.AUFSCHLUSS_UG_OH_BA" queryTableFieldId="12"/>
    <tableColumn id="13" xr3:uid="{90B38C43-CFC3-4EE4-95C1-B808FDC40D3A}" uniqueName="13" name="PROBE.OBERKANTE" queryTableFieldId="13"/>
    <tableColumn id="14" xr3:uid="{6988CDD8-66BF-421D-92FF-4331FAE8B7DA}" uniqueName="14" name="PROBE.BELASTUNGSKLASSE" queryTableFieldId="14"/>
    <tableColumn id="15" xr3:uid="{BE28EEF2-03A2-4AD3-9189-4C7F40FD727B}" uniqueName="15" name="PROBE.BELASTUNGSKLASSE_TAFEL" queryTableFieldId="15"/>
    <tableColumn id="16" xr3:uid="{CBE5C4C8-7B98-4B15-9CBA-4F7420846581}" uniqueName="16" name="PROBE.PECH_QUALITATIV" queryTableFieldId="16"/>
    <tableColumn id="17" xr3:uid="{7E6F4CD6-AF96-4C90-8482-7FB5965388AC}" uniqueName="17" name="PROBE.PECH_HALBQUANTITATIV" queryTableFieldId="17"/>
    <tableColumn id="18" xr3:uid="{4917AE14-E285-46A4-BD74-2D2D8C5EFECC}" uniqueName="18" name="PROBE.PECH_QUANTITATIV" queryTableFieldId="18"/>
    <tableColumn id="19" xr3:uid="{929EDF0B-C34E-4EB7-AC89-AA6628F17DDF}" uniqueName="19" name="PROBE.TRAG_PLANUM" queryTableFieldId="19"/>
    <tableColumn id="20" xr3:uid="{56318993-7F45-4D0F-B4D7-7B3403C9BE00}" uniqueName="20" name="PROBE.TRAG_GRABENSOHLE" queryTableFieldId="20"/>
    <tableColumn id="21" xr3:uid="{5A18245A-2CDA-4E87-BE71-91D7078A7E2C}" uniqueName="21" name="PROBE.SOHLE_TIEFE" queryTableFieldId="21"/>
    <tableColumn id="22" xr3:uid="{B64E410D-14C8-4DF2-997F-919865C24E11}" uniqueName="22" name="PROBE.VERBUND_UNTERLAGE" queryTableFieldId="22"/>
    <tableColumn id="23" xr3:uid="{5A4C6EA8-0280-4DA8-9B75-28A99C24D8F7}" uniqueName="23" name="PROBE.ZIELTIEFE" queryTableFieldId="23"/>
    <tableColumn id="24" xr3:uid="{62CC5603-F712-438B-A7A1-0E4192544413}" uniqueName="24" name="PROBE.FOOTNOTE_1" queryTableFieldId="24"/>
    <tableColumn id="25" xr3:uid="{5F5AB01D-CE8C-49E5-BE3A-87644B6FEC97}" uniqueName="25" name="PROBE.FOOTNOTE_2" queryTableFieldId="25"/>
    <tableColumn id="26" xr3:uid="{6F3CD4F8-14AD-4405-B8D5-D62F48D3D329}" uniqueName="26" name="PROBE.FOOTNOTE_3" queryTableFieldId="26"/>
    <tableColumn id="27" xr3:uid="{0CDF45EA-9CEF-4987-9BE5-2C9AC5746F3D}" uniqueName="27" name="PROBE.FOOTNOTE_4" queryTableFieldId="27"/>
    <tableColumn id="28" xr3:uid="{636E89D5-FC9E-4D25-80E6-185B44BE97EC}" uniqueName="28" name="PROBE.FOOTNOTE_5" queryTableFieldId="28"/>
    <tableColumn id="29" xr3:uid="{A5527723-054B-48C8-B677-F75AD1A26EDF}" uniqueName="29" name="PROBE.FOOTNOTE_6" queryTableFieldId="29"/>
    <tableColumn id="30" xr3:uid="{ADF80FA8-26FB-4579-89E3-42AB4457DD89}" uniqueName="30" name="PROBE.FOOTNOTE_7" queryTableFieldId="30"/>
    <tableColumn id="31" xr3:uid="{0E972AAA-7278-4773-86CD-379AD4D6C708}" uniqueName="31" name="PROBE.FOOTNOTE_8" queryTableFieldId="31"/>
    <tableColumn id="32" xr3:uid="{2B557F9A-0C72-4509-9BAC-950A6123E610}" uniqueName="32" name="PROBE.FOOTNOTE_9" queryTableFieldId="32"/>
    <tableColumn id="33" xr3:uid="{5FC27046-7256-4191-A469-B1DD840C2798}" uniqueName="33" name="PROBE.FOOTNOTE_10" queryTableFieldId="33"/>
    <tableColumn id="34" xr3:uid="{F9B02567-8C23-489B-A59E-785B7847C3C2}" uniqueName="34" name="SAMPLE.ID" queryTableFieldId="34"/>
    <tableColumn id="35" xr3:uid="{DDB529FD-BA55-4258-AF35-3E7BBE3E9D76}" uniqueName="35" name="SAMPLE.PROBE.ID" queryTableFieldId="35"/>
    <tableColumn id="36" xr3:uid="{ED596E11-5DA1-475C-883B-6BDE17C0425E}" uniqueName="36" name="SAMPLE.CHEMISTRY.ID" queryTableFieldId="36"/>
    <tableColumn id="37" xr3:uid="{132B113C-764C-41F9-B6F8-2844353DF904}" uniqueName="37" name="SAMPLE.RUK.ID" queryTableFieldId="37"/>
    <tableColumn id="3" xr3:uid="{F906E14F-DE9E-440D-BDF5-E98E0F87FA95}" uniqueName="3" name="SAMPLE.LP.ID" queryTableFieldId="121"/>
    <tableColumn id="121" xr3:uid="{1937BCA7-739E-41D7-A763-0DC0439AC7F7}" uniqueName="121" name="SAMPLE.TYPE" queryTableFieldId="124"/>
    <tableColumn id="38" xr3:uid="{F818C2C0-FA44-4E67-8EE2-2B8FECB42C58}" uniqueName="38" name="SAMPLE.NUMMER" queryTableFieldId="38"/>
    <tableColumn id="129" xr3:uid="{12223601-457F-485B-B53F-5587948B923D}" uniqueName="129" name="SAMPLE.NUMBER" queryTableFieldId="140"/>
    <tableColumn id="39" xr3:uid="{BCD5BF02-80CA-4DCB-BAD0-665680656CE3}" uniqueName="39" name="SAMPLE.AUFSCHLUSS" queryTableFieldId="39"/>
    <tableColumn id="40" xr3:uid="{F5A89259-1C05-46D6-8C25-FBD6FF60E073}" uniqueName="40" name="SAMPLE.ART" queryTableFieldId="40"/>
    <tableColumn id="41" xr3:uid="{1A119E42-C532-4F97-B607-771D8DBDE802}" uniqueName="41" name="SAMPLE.KOERNUNG" queryTableFieldId="41"/>
    <tableColumn id="42" xr3:uid="{11AFD8A4-CB3A-46B7-AA7F-F063DC28F72F}" uniqueName="42" name="SAMPLE.BODENKLASSE" queryTableFieldId="42"/>
    <tableColumn id="43" xr3:uid="{267720E7-F279-4E6D-B1FB-2BD7BE10AD3C}" uniqueName="43" name="SAMPLE.DICKE" queryTableFieldId="43"/>
    <tableColumn id="44" xr3:uid="{EC934BCB-86D5-42C0-B7ED-D5AAC98EAA07}" uniqueName="44" name="SAMPLE.TIEFE_START" queryTableFieldId="44"/>
    <tableColumn id="45" xr3:uid="{3735F2FF-1948-4A65-A1F6-AAF241AB6D82}" uniqueName="45" name="SAMPLE.TIEFE_ENDE" queryTableFieldId="45"/>
    <tableColumn id="46" xr3:uid="{4E9A4864-6E73-4ED6-896C-C38819E927F4}" uniqueName="46" name="SAMPLE.PECH" queryTableFieldId="46"/>
    <tableColumn id="47" xr3:uid="{4B409D92-B7E2-46BD-B4DB-4236ABD190B9}" uniqueName="47" name="SAMPLE.RUNDUNGSGRAD_GESTUFTHEIT" queryTableFieldId="47"/>
    <tableColumn id="48" xr3:uid="{D816F67A-77C1-4A7E-B45B-CFA5F7EC5B84}" uniqueName="48" name="SAMPLE.FARBE" queryTableFieldId="48"/>
    <tableColumn id="49" xr3:uid="{7039DACC-055B-4F81-8FC4-648DB864097F}" uniqueName="49" name="SAMPLE.BODENART" queryTableFieldId="49"/>
    <tableColumn id="50" xr3:uid="{4F21695E-B089-4205-BAD7-7B6836A2C457}" uniqueName="50" name="SAMPLE.KONSISTENZ" queryTableFieldId="50"/>
    <tableColumn id="51" xr3:uid="{216C91CB-9CAE-42E8-8EB3-72C6D3BE5888}" uniqueName="51" name="SAMPLE.FEUCHTIGKEIT" queryTableFieldId="51"/>
    <tableColumn id="52" xr3:uid="{41B290C7-78F4-4C4B-926F-41542614FF5A}" uniqueName="52" name="SAMPLE.WASSERGEHALT" queryTableFieldId="52"/>
    <tableColumn id="53" xr3:uid="{E7F43ABC-4A48-47B1-A647-F68E92CC7160}" uniqueName="53" name="SAMPLE.WASSERPROCTOR" queryTableFieldId="53"/>
    <tableColumn id="54" xr3:uid="{E7373CEB-81B9-4426-A7F7-03CE94AD3995}" uniqueName="54" name="SAMPLE.NOTIZ" queryTableFieldId="54"/>
    <tableColumn id="55" xr3:uid="{E5B3F41A-6735-4C97-9A81-C6E38CA7B3DB}" uniqueName="55" name="SAMPLE.BEHAELTNIS" queryTableFieldId="55"/>
    <tableColumn id="56" xr3:uid="{5DCB5903-2617-4FE3-AB40-C2480964E897}" uniqueName="56" name="SAMPLE.ABFALLART" queryTableFieldId="56"/>
    <tableColumn id="57" xr3:uid="{85CE6D98-A755-4FA1-8DCE-05B6A2621AC3}" uniqueName="57" name="SAMPLE.GERUCH" queryTableFieldId="57"/>
    <tableColumn id="58" xr3:uid="{CC16A3DE-344D-4AAC-8486-965B863EDC62}" uniqueName="58" name="SAMPLE.KORNGROESSENVERTEILUNG" queryTableFieldId="58"/>
    <tableColumn id="59" xr3:uid="{DC651A8D-5252-4EDE-AEB2-416487B67926}" uniqueName="59" name="SAMPLE.DRUCKFESTIGKEIT" queryTableFieldId="59"/>
    <tableColumn id="60" xr3:uid="{8175C6A0-9300-4596-99D0-D18D362EE112}" uniqueName="60" name="SAMPLE.FROSTEMPFINDLICHKEITSKLASSE" queryTableFieldId="60"/>
    <tableColumn id="61" xr3:uid="{73D18298-471E-4041-A9D2-FAD36D008361}" uniqueName="61" name="SAMPLE.VERDICHTUNGSFAEHIGKEIT" queryTableFieldId="61"/>
    <tableColumn id="62" xr3:uid="{98862B67-1340-44FB-AB04-8B2C2F139B91}" uniqueName="62" name="SAMPLE.HOMOGENBEREICH" queryTableFieldId="62"/>
    <tableColumn id="63" xr3:uid="{078B35DC-EB77-4E2B-8BF8-2391C0BCB47E}" uniqueName="63" name="PARAMETER.LP.ID" queryTableFieldId="63"/>
    <tableColumn id="64" xr3:uid="{159C1777-7C1B-424E-920E-ADD494436749}" uniqueName="64" name="PARAMETER.LP.NUMMER" queryTableFieldId="64"/>
    <tableColumn id="65" xr3:uid="{09F658EB-8847-49A6-BA6B-830FCE637015}" uniqueName="65" name="PARAMETER.LP.WERT_1" queryTableFieldId="65"/>
    <tableColumn id="66" xr3:uid="{87E78390-B7A7-40C2-987F-1D1BCF80C77D}" uniqueName="66" name="PARAMETER.LP.WERT_2" queryTableFieldId="66"/>
    <tableColumn id="67" xr3:uid="{C506AE4F-9FBB-4BEC-912D-5EBED421BBB2}" uniqueName="67" name="PARAMETER.LP.WERT_3" queryTableFieldId="67"/>
    <tableColumn id="68" xr3:uid="{F84242DF-3475-4688-A059-A9AC3199FD05}" uniqueName="68" name="PARAMETER.LP.MITTELWERT" queryTableFieldId="68" dataDxfId="201"/>
    <tableColumn id="69" xr3:uid="{C926571D-6E49-46CF-8D22-544CD01CE837}" uniqueName="69" name="PARAMETER.LP.EV" queryTableFieldId="69"/>
    <tableColumn id="70" xr3:uid="{D3169012-4C76-4C56-9293-87664BC3CA3F}" uniqueName="70" name="PARAMETER.LP.EV85" queryTableFieldId="70" dataDxfId="2"/>
    <tableColumn id="71" xr3:uid="{B7D2BA06-4A34-4C68-8818-08707091BD51}" uniqueName="71" name="PARAMETER.LP.EV2" queryTableFieldId="71" dataDxfId="1"/>
    <tableColumn id="72" xr3:uid="{73013B3C-A3D4-4980-8DE7-06165CDB6131}" uniqueName="72" name="PARAMETER.LP.EV2_SOLL" queryTableFieldId="72"/>
    <tableColumn id="73" xr3:uid="{582756C6-FE8E-49BE-85F9-436365406DFB}" uniqueName="73" name="PARAMETER.RUK.ID" queryTableFieldId="73"/>
    <tableColumn id="74" xr3:uid="{A553ABE5-081B-4052-8576-D664134FC8CD}" uniqueName="74" name="PARAMETER.RUK.NUMMER" queryTableFieldId="74"/>
    <tableColumn id="75" xr3:uid="{7A75B7FC-1403-4DC1-96F4-24BD32138AFF}" uniqueName="75" name="PARAMETER.RUK.PROBENART" queryTableFieldId="75"/>
    <tableColumn id="76" xr3:uid="{013176A7-4157-416E-9338-BB80D885EDD0}" uniqueName="76" name="PARAMETER.RUK.WERT" queryTableFieldId="76" dataDxfId="0"/>
    <tableColumn id="77" xr3:uid="{A31B4E8D-FF30-4350-8B36-F5A091FA8BE3}" uniqueName="77" name="PARAMETER.CHEMISTRY.ID" queryTableFieldId="77" dataDxfId="200"/>
    <tableColumn id="78" xr3:uid="{6447F090-92FC-4BF7-BB54-7062E3B51531}" uniqueName="78" name="PARAMETER.CHEMISTRY.MUFV" queryTableFieldId="78" dataDxfId="199"/>
    <tableColumn id="79" xr3:uid="{02A2CC25-5CAB-486D-B541-3DE6E66C39B0}" uniqueName="79" name="PARAMETER.CHEMISTRY.MUFV_PARAMETER" queryTableFieldId="79" dataDxfId="198"/>
    <tableColumn id="122" xr3:uid="{A45D6CFC-F564-47E3-8149-C8093249D3B9}" uniqueName="122" name="PARAMETER.CHEMISTRY.MKUEM" queryTableFieldId="135"/>
    <tableColumn id="80" xr3:uid="{7807F747-E532-4E88-9A2C-D53E765139AA}" uniqueName="80" name="PARAMETER.CHEMISTRY.ASBEST" queryTableFieldId="80" dataDxfId="197"/>
    <tableColumn id="81" xr3:uid="{4EBADA30-0DF6-499D-AAF0-FC1167D25847}" uniqueName="81" name="PARAMETER.CHEMISTRY.KMF" queryTableFieldId="81" dataDxfId="196"/>
    <tableColumn id="82" xr3:uid="{3B561F5F-2D43-4067-8617-DECD7FB8EA51}" uniqueName="82" name="PARAMETER.CHEMISTRY.PAK" queryTableFieldId="82" dataDxfId="195"/>
    <tableColumn id="83" xr3:uid="{FFB29055-4A3C-457D-A460-0093ABBD6620}" uniqueName="83" name="PARAMETER.CHEMISTRY.PCB" queryTableFieldId="83" dataDxfId="194"/>
    <tableColumn id="84" xr3:uid="{223AB50A-7F5C-4434-976E-67A136FA6D2C}" uniqueName="84" name="PARAMETER.CHEMISTRY.BTEX" queryTableFieldId="84" dataDxfId="193"/>
    <tableColumn id="85" xr3:uid="{DF177C34-7768-423A-BBEE-CB2710E46706}" uniqueName="85" name="PARAMETER.CHEMISTRY.EOX" queryTableFieldId="85" dataDxfId="192"/>
    <tableColumn id="86" xr3:uid="{449C7574-6309-4508-9E06-DA2A5DDB239D}" uniqueName="86" name="PARAMETER.CHEMISTRY.PHENOLE" queryTableFieldId="86" dataDxfId="191"/>
    <tableColumn id="87" xr3:uid="{FA4D0C39-E96A-4B21-9448-CD88C1947C88}" uniqueName="87" name="PARAMETER.CHEMISTRY.ICP_SCREENING" queryTableFieldId="87" dataDxfId="190"/>
    <tableColumn id="88" xr3:uid="{5C31CD76-89C0-4772-832C-EDD96CAF2D7C}" uniqueName="88" name="PARAMETER.CHEMISTRY.MKW_C10_C22" queryTableFieldId="88" dataDxfId="189"/>
    <tableColumn id="89" xr3:uid="{6557DE6D-5F29-4CCB-BEAF-951520533AB7}" uniqueName="89" name="PARAMETER.CHEMISTRY.MKW_C10_C40" queryTableFieldId="89" dataDxfId="188"/>
    <tableColumn id="90" xr3:uid="{56DEE031-2DC4-466F-B6B3-6EFB4A114A06}" uniqueName="90" name="PARAMETER.CHEMISTRY.SULFAT" queryTableFieldId="90" dataDxfId="187"/>
    <tableColumn id="91" xr3:uid="{E331A1BC-B90C-48E4-84AA-6505E483F830}" uniqueName="91" name="PARAMETER.CHEMISTRY.ALTHOLZ_VERORDNUNG" queryTableFieldId="91" dataDxfId="186"/>
    <tableColumn id="92" xr3:uid="{664484A1-1F1D-4631-9229-FA2423019CF7}" uniqueName="92" name="PARAMETER.CHEMISTRY.FCKW" queryTableFieldId="92" dataDxfId="185"/>
    <tableColumn id="93" xr3:uid="{E9955DE5-8EE5-451C-B9B5-47B862F0EBF7}" uniqueName="93" name="PARAMETER.CHEMISTRY.HBCD" queryTableFieldId="93" dataDxfId="184"/>
    <tableColumn id="94" xr3:uid="{99A8AAEB-7F54-443A-9AE4-10239B7B5313}" uniqueName="94" name="PARAMETER.CHEMISTRY.LAGA_BO" queryTableFieldId="94" dataDxfId="183"/>
    <tableColumn id="95" xr3:uid="{40FC5D6C-62C6-452D-85D0-BF8E2B0CA64D}" uniqueName="95" name="PARAMETER.CHEMISTRY.LAGA_RC" queryTableFieldId="95" dataDxfId="182"/>
    <tableColumn id="96" xr3:uid="{5350E1CB-168D-43E2-8174-5307AB2F7FFF}" uniqueName="96" name="PARAMETER.CHEMISTRY.LAGA_RC_ORIENTIERUNGSWERT" queryTableFieldId="96" dataDxfId="181"/>
    <tableColumn id="123" xr3:uid="{6D6AFA93-5139-4763-9039-3836D0C4CA75}" uniqueName="123" name="PARAMETER.CHEMISTRY.EBV_BODEN" queryTableFieldId="128"/>
    <tableColumn id="124" xr3:uid="{8C19B464-6C6E-4573-B50E-04BF14CD8BD6}" uniqueName="124" name="PARAMETER.CHEMISTRY.EBV_BAUSCHUTT" queryTableFieldId="129"/>
    <tableColumn id="125" xr3:uid="{E6B31E2E-58BB-49BF-9D03-4418277C9BF9}" uniqueName="125" name="PARAMETER.CHEMISTRY.EBV_UEBERWACHUNGSWERT" queryTableFieldId="130"/>
    <tableColumn id="97" xr3:uid="{A22C6EC8-A7C8-42A1-A4A5-49F13CDF77E8}" uniqueName="97" name="PARAMETER.CHEMISTRY.TL_GESTEIN" queryTableFieldId="97" dataDxfId="180"/>
    <tableColumn id="98" xr3:uid="{725C7FEA-C159-432A-BBD3-F6031988605E}" uniqueName="98" name="PARAMETER.CHEMISTRY.DEPV" queryTableFieldId="98" dataDxfId="179"/>
    <tableColumn id="99" xr3:uid="{C4872AA8-2C00-433A-97CE-CA0243253F13}" uniqueName="99" name="PARAMETER.CHEMISTRY.ENTSCHEIDUNGSHILFE" queryTableFieldId="99" dataDxfId="178"/>
    <tableColumn id="100" xr3:uid="{4A15FF20-0E7F-4AFB-92FE-AE384507F846}" uniqueName="100" name="PARAMETER.CHEMISTRY.REKU" queryTableFieldId="100" dataDxfId="177"/>
    <tableColumn id="101" xr3:uid="{6DE305E5-8909-4015-B780-8B5EC1734EF0}" uniqueName="101" name="PARAMETER.CHEMISTRY.RUVA" queryTableFieldId="101" dataDxfId="176"/>
    <tableColumn id="119" xr3:uid="{E6B50816-607D-4705-8563-8AD9003B5710}" uniqueName="119" name="PARAMETER.CHEMISTRY.ABFALLSCHLUESSEL" queryTableFieldId="119"/>
    <tableColumn id="102" xr3:uid="{046290BB-9F73-4497-9ECE-01007B6192B4}" uniqueName="102" name="PARAMETER.CHEMISTRY.LFS" queryTableFieldId="102" dataDxfId="175"/>
    <tableColumn id="103" xr3:uid="{8060DAC6-FE56-41A4-99CE-BEF09E38AE8F}" uniqueName="103" name="SAMPLE.VOLUMEN" queryTableFieldId="103"/>
    <tableColumn id="104" xr3:uid="{81B3DE84-53F4-4D50-8AF0-245EF8B30B87}" uniqueName="104" name="SAMPLE.PROBEN" queryTableFieldId="104"/>
    <tableColumn id="105" xr3:uid="{15F0DF27-6BE8-4A68-AED9-5B140BE2DA3D}" uniqueName="105" name="PROBE.BAUTEIL" queryTableFieldId="105"/>
    <tableColumn id="106" xr3:uid="{22070423-A293-46A4-BFD5-64782AFB1B4E}" uniqueName="106" name="PROBE.PROBENCHARAKTER" queryTableFieldId="106"/>
    <tableColumn id="107" xr3:uid="{EFBE84FF-CA0A-4094-A974-7E58A4EDED04}" uniqueName="107" name="PROBE.GERUCH" queryTableFieldId="107"/>
    <tableColumn id="108" xr3:uid="{1F650748-6697-4929-869A-7FA9206A4D01}" uniqueName="108" name="PROBE.PROBENNUMMER" queryTableFieldId="108"/>
    <tableColumn id="109" xr3:uid="{15A4362D-3855-4F49-9902-96D8FA82F035}" uniqueName="109" name="PROBE.GEBAEUDE" queryTableFieldId="109"/>
    <tableColumn id="110" xr3:uid="{F705D791-6F85-4099-9AC9-8093B9B8874F}" uniqueName="110" name="PROBE.ETAGE" queryTableFieldId="110"/>
    <tableColumn id="111" xr3:uid="{093A9988-79EA-49C2-A7C0-B5C33677F181}" uniqueName="111" name="PROBE.RAUM" queryTableFieldId="111"/>
    <tableColumn id="112" xr3:uid="{9B28D4B5-453A-45A9-9B14-1E98144FAB10}" uniqueName="112" name="PROBE.ENTNAHME" queryTableFieldId="112"/>
    <tableColumn id="113" xr3:uid="{17885DB8-BF5D-44C2-BF37-14B6735B5033}" uniqueName="113" name="SAMPLE.MATERIAL" queryTableFieldId="113"/>
    <tableColumn id="114" xr3:uid="{D49E9DB9-284F-45F0-8060-DA36B4587ED9}" uniqueName="114" name="SAMPLE.ENTNAHME" queryTableFieldId="114"/>
    <tableColumn id="115" xr3:uid="{70DD9293-E1EC-4451-AF60-E66AF596CFB0}" uniqueName="115" name="SAMPLE.MATERIAL_VERGLEICH" queryTableFieldId="115"/>
    <tableColumn id="116" xr3:uid="{C47AB0E5-3A18-452F-AAF2-6DE62E330A44}" uniqueName="116" name="SAMPLE.SCHADSTOFFVERDACHT" queryTableFieldId="116"/>
    <tableColumn id="117" xr3:uid="{10961C8E-50D8-4F39-8E3A-B65296A577C3}" uniqueName="117" name="SAMPLE.ABFALLSCHLUESSEL_MATERIAL" queryTableFieldId="117" dataDxfId="174"/>
    <tableColumn id="118" xr3:uid="{3BFAA40F-A0BC-48BB-A998-3C0F59055FDF}" uniqueName="118" name="SAMPLE.ABFALLSCHLUESSEL_GEMISCH" queryTableFieldId="118" dataDxfId="173"/>
    <tableColumn id="126" xr3:uid="{1FC5BFA1-8142-40A7-B388-13426F1EEE58}" uniqueName="126" name="Index" queryTableFieldId="137"/>
    <tableColumn id="127" xr3:uid="{192EF5A6-7BFD-4A0B-829A-B31700027828}" uniqueName="127" name="PROBE.NUMBER" queryTableFieldId="13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D0B90E-F6FD-4BFC-9A83-ECE212DBBA6A}" name="Gebaeude_Data_Table_2" displayName="Gebaeude_Data_Table_2" ref="A1:BG32" tableType="queryTable" totalsRowShown="0">
  <autoFilter ref="A1:BG32" xr:uid="{81D0B90E-F6FD-4BFC-9A83-ECE212DBBA6A}"/>
  <tableColumns count="59">
    <tableColumn id="1" xr3:uid="{16A827F1-3BF1-4EC6-A2CA-E43F0B83F23F}" uniqueName="1" name="PROBE.ID" queryTableFieldId="1"/>
    <tableColumn id="12" xr3:uid="{67F32239-0552-4B83-86A7-318F178F257F}" uniqueName="12" name="PROBE.TYPE" queryTableFieldId="55"/>
    <tableColumn id="2" xr3:uid="{21FAAEED-D00E-4AFC-B674-7E49E838202C}" uniqueName="2" name="PROBE.NUMMER" queryTableFieldId="2"/>
    <tableColumn id="3" xr3:uid="{F120CC65-7D00-4B77-BF03-075CBA4CAAC8}" uniqueName="3" name="PROBE.DATUM" queryTableFieldId="3" dataDxfId="172"/>
    <tableColumn id="4" xr3:uid="{1E9158E2-1D6F-4497-A77F-C67621822081}" uniqueName="4" name="PROBE.BAUTEIL" queryTableFieldId="4"/>
    <tableColumn id="5" xr3:uid="{B0CA046C-DC80-4814-A580-887DA448644E}" uniqueName="5" name="PROBE.PROBENCHARAKTER" queryTableFieldId="5"/>
    <tableColumn id="6" xr3:uid="{576B62E7-62A0-4F8F-B49B-881D45AF46DB}" uniqueName="6" name="PROBE.GERUCH" queryTableFieldId="6"/>
    <tableColumn id="7" xr3:uid="{C61DBAE0-3A18-475E-8E4D-DA4C5218369E}" uniqueName="7" name="PROBE.PROBENNUMMER" queryTableFieldId="7"/>
    <tableColumn id="8" xr3:uid="{5AA23DC0-6A0E-4EA0-A4D4-892893895802}" uniqueName="8" name="PROBE.GEBAEUDE" queryTableFieldId="8"/>
    <tableColumn id="9" xr3:uid="{9265CD7E-405F-4A6D-B273-A67C05FE482E}" uniqueName="9" name="PROBE.ETAGE" queryTableFieldId="9"/>
    <tableColumn id="10" xr3:uid="{01B89473-E8AC-4BCB-9BCD-E05A83E86DDA}" uniqueName="10" name="PROBE.RAUM" queryTableFieldId="10"/>
    <tableColumn id="11" xr3:uid="{C47202AC-8260-4153-BBC6-D434C76D9670}" uniqueName="11" name="PROBE.ENTNAHME" queryTableFieldId="11"/>
    <tableColumn id="55" xr3:uid="{9E84D95A-174C-4C41-970F-BD33E96C1691}" uniqueName="55" name="SAMPLE.ID" queryTableFieldId="59"/>
    <tableColumn id="13" xr3:uid="{87B31C85-D4A8-4DF3-841D-C61E750ED0EE}" uniqueName="13" name="SAMPLE.PROBE.ID" queryTableFieldId="13"/>
    <tableColumn id="14" xr3:uid="{73D7608B-96AB-44DF-B428-343E23D52F04}" uniqueName="14" name="SAMPLE.CHEMISTRY.ID" queryTableFieldId="14"/>
    <tableColumn id="54" xr3:uid="{0D0E2020-AFAF-4330-AD1F-921D235472AB}" uniqueName="54" name="SAMPLE.TYPE" queryTableFieldId="56"/>
    <tableColumn id="15" xr3:uid="{1CF8A1A8-FA05-40AF-BB06-1537454CCB16}" uniqueName="15" name="SAMPLE.NUMMER" queryTableFieldId="15"/>
    <tableColumn id="16" xr3:uid="{79EF3E2A-983F-4C23-964C-A31DFB304ED4}" uniqueName="16" name="SAMPLE.AUFSCHLUSS" queryTableFieldId="16"/>
    <tableColumn id="17" xr3:uid="{93F5F534-05B2-4A57-A735-7DDEED6CF956}" uniqueName="17" name="SAMPLE.MATERIAL" queryTableFieldId="17"/>
    <tableColumn id="18" xr3:uid="{AE5AA63E-B6C7-4478-9AB6-5AF57D1F8C73}" uniqueName="18" name="SAMPLE.FARBE" queryTableFieldId="18"/>
    <tableColumn id="19" xr3:uid="{F8ADF866-9EB8-4B0B-B7F2-B247370617C6}" uniqueName="19" name="SAMPLE.DICKE" queryTableFieldId="19"/>
    <tableColumn id="20" xr3:uid="{E4A36343-07C5-42B9-B83B-FE70BEB62EA3}" uniqueName="20" name="SAMPLE.TIEFE_START" queryTableFieldId="20"/>
    <tableColumn id="21" xr3:uid="{6325EFA9-26CF-4A36-9FF1-62A68D21CD7F}" uniqueName="21" name="SAMPLE.TIEFE_ENDE" queryTableFieldId="21"/>
    <tableColumn id="22" xr3:uid="{9E748F6C-8E9D-4D5D-8D4E-16EBF764588A}" uniqueName="22" name="SAMPLE.ENTNAHME" queryTableFieldId="22"/>
    <tableColumn id="23" xr3:uid="{18165258-0E55-4909-8F11-F217F373D5CC}" uniqueName="23" name="SAMPLE.MATERIAL_VERGLEICH" queryTableFieldId="23"/>
    <tableColumn id="24" xr3:uid="{3F64DD3A-3BDB-4634-973A-21A7939B17D6}" uniqueName="24" name="SAMPLE.SCHADSTOFFVERDACHT" queryTableFieldId="24"/>
    <tableColumn id="25" xr3:uid="{9E8BDEE7-4F9D-4462-BD44-CFDF8D6939E5}" uniqueName="25" name="SAMPLE.ABFALLSCHLUESSEL_MATERIAL" queryTableFieldId="25" dataDxfId="171"/>
    <tableColumn id="26" xr3:uid="{FC97436C-64A0-41C8-B4BE-9C2242984A2A}" uniqueName="26" name="SAMPLE.ABFALLSCHLUESSEL_GEMISCH" queryTableFieldId="26" dataDxfId="170"/>
    <tableColumn id="27" xr3:uid="{FEC52FA2-705E-42CB-80EC-4928D5325B71}" uniqueName="27" name="PARAMETER.CHEMISTRY.ID" queryTableFieldId="27" dataDxfId="169"/>
    <tableColumn id="28" xr3:uid="{27A4E004-8EAD-421D-9AA3-CF721B6D9A83}" uniqueName="28" name="PARAMETER.CHEMISTRY.MUFV" queryTableFieldId="28" dataDxfId="168"/>
    <tableColumn id="29" xr3:uid="{93606AFB-108E-4FE1-895A-71BB6F3DF64F}" uniqueName="29" name="PARAMETER.CHEMISTRY.MUFV_PARAMETER" queryTableFieldId="29" dataDxfId="167"/>
    <tableColumn id="56" xr3:uid="{B8B17E3B-4995-43DD-BF96-200241E8F514}" uniqueName="56" name="PARAMETER.CHEMISTRY.MKUEM" queryTableFieldId="69"/>
    <tableColumn id="30" xr3:uid="{F78B4E58-D201-4664-9FA5-DFB52507CB65}" uniqueName="30" name="PARAMETER.CHEMISTRY.ASBEST" queryTableFieldId="30" dataDxfId="166"/>
    <tableColumn id="31" xr3:uid="{14D629DF-C709-4790-82B1-CF18C3C6D43E}" uniqueName="31" name="PARAMETER.CHEMISTRY.KMF" queryTableFieldId="31" dataDxfId="165"/>
    <tableColumn id="32" xr3:uid="{0F0061C7-0951-41B7-87CF-A6950CCB314E}" uniqueName="32" name="PARAMETER.CHEMISTRY.PAK" queryTableFieldId="32" dataDxfId="164"/>
    <tableColumn id="33" xr3:uid="{2F939509-A19C-4906-8FC2-BCF88B19BE05}" uniqueName="33" name="PARAMETER.CHEMISTRY.PCB" queryTableFieldId="33" dataDxfId="163"/>
    <tableColumn id="34" xr3:uid="{03BF367E-3FCF-4ECC-A100-B8012E65F100}" uniqueName="34" name="PARAMETER.CHEMISTRY.BTEX" queryTableFieldId="34" dataDxfId="162"/>
    <tableColumn id="35" xr3:uid="{BA3BECE2-FE5C-47CC-970C-F106E733A380}" uniqueName="35" name="PARAMETER.CHEMISTRY.EOX" queryTableFieldId="35" dataDxfId="161"/>
    <tableColumn id="36" xr3:uid="{629BC31F-3BD7-41C8-AEAB-17B0A80F2C92}" uniqueName="36" name="PARAMETER.CHEMISTRY.PHENOLE" queryTableFieldId="36" dataDxfId="160"/>
    <tableColumn id="37" xr3:uid="{68813B17-BB65-4926-BE6A-4716BE7DB98C}" uniqueName="37" name="PARAMETER.CHEMISTRY.ICP_SCREENING" queryTableFieldId="37" dataDxfId="159"/>
    <tableColumn id="38" xr3:uid="{EE16B3EF-DECD-42F8-890C-2C830D731663}" uniqueName="38" name="PARAMETER.CHEMISTRY.MKW_C10_C22" queryTableFieldId="38" dataDxfId="158"/>
    <tableColumn id="39" xr3:uid="{5ABF636F-5B8F-4034-8610-2DCB1D4E5DAB}" uniqueName="39" name="PARAMETER.CHEMISTRY.MKW_C10_C40" queryTableFieldId="39" dataDxfId="157"/>
    <tableColumn id="40" xr3:uid="{8B7F21F1-6D87-4C4E-843F-DEF943284D33}" uniqueName="40" name="PARAMETER.CHEMISTRY.SULFAT" queryTableFieldId="40" dataDxfId="156"/>
    <tableColumn id="41" xr3:uid="{4998777B-9E4E-4BC9-B317-43F694B0F669}" uniqueName="41" name="PARAMETER.CHEMISTRY.ALTHOLZ_VERORDNUNG" queryTableFieldId="41" dataDxfId="155"/>
    <tableColumn id="42" xr3:uid="{2FF936F5-EAC8-48B4-9AA7-737B3728B063}" uniqueName="42" name="PARAMETER.CHEMISTRY.FCKW" queryTableFieldId="42" dataDxfId="154"/>
    <tableColumn id="43" xr3:uid="{FDFBEC0C-E165-43F8-9120-B73BD468C297}" uniqueName="43" name="PARAMETER.CHEMISTRY.HBCD" queryTableFieldId="43" dataDxfId="153"/>
    <tableColumn id="44" xr3:uid="{43420AA0-A5F4-4F3B-8341-DC45675A9502}" uniqueName="44" name="PARAMETER.CHEMISTRY.LAGA_BO" queryTableFieldId="44" dataDxfId="152"/>
    <tableColumn id="45" xr3:uid="{58F1740F-4C9F-431F-9219-439DD02CECC4}" uniqueName="45" name="PARAMETER.CHEMISTRY.LAGA_RC" queryTableFieldId="45" dataDxfId="151"/>
    <tableColumn id="46" xr3:uid="{60A31DD1-B933-49AA-B154-8C44FA3D3F2F}" uniqueName="46" name="PARAMETER.CHEMISTRY.LAGA_RC_ORIENTIERUNGSWERT" queryTableFieldId="46" dataDxfId="150"/>
    <tableColumn id="57" xr3:uid="{AFC55C49-0C6C-40A8-8136-03CBCD0FE02E}" uniqueName="57" name="PARAMETER.CHEMISTRY.EBV_BODEN" queryTableFieldId="62"/>
    <tableColumn id="58" xr3:uid="{90778A58-A1A7-43F8-B4BA-2E1A5B54FDCC}" uniqueName="58" name="PARAMETER.CHEMISTRY.EBV_BAUSCHUTT" queryTableFieldId="63"/>
    <tableColumn id="59" xr3:uid="{3646BD69-FF51-4E43-B137-901CFF0F58EB}" uniqueName="59" name="PARAMETER.CHEMISTRY.EBV_UEBERWACHUNGSWERT" queryTableFieldId="64"/>
    <tableColumn id="47" xr3:uid="{5D44EE28-B9E3-48A0-A2BA-B4E23CE1C2F1}" uniqueName="47" name="PARAMETER.CHEMISTRY.TL_GESTEIN" queryTableFieldId="47" dataDxfId="149"/>
    <tableColumn id="48" xr3:uid="{1639B7A6-5F78-42FC-A430-E662E0FF3BEE}" uniqueName="48" name="PARAMETER.CHEMISTRY.DEPV" queryTableFieldId="48" dataDxfId="148"/>
    <tableColumn id="49" xr3:uid="{6B10F78D-E8F9-41E6-B732-58683EAA26B4}" uniqueName="49" name="PARAMETER.CHEMISTRY.ENTSCHEIDUNGSHILFE" queryTableFieldId="49" dataDxfId="147"/>
    <tableColumn id="50" xr3:uid="{8E2DB51E-5F76-470A-A87D-FB1FE1BEEC83}" uniqueName="50" name="PARAMETER.CHEMISTRY.REKU" queryTableFieldId="50" dataDxfId="146"/>
    <tableColumn id="51" xr3:uid="{C4DE7668-10FF-47BD-8618-85556FE90926}" uniqueName="51" name="PARAMETER.CHEMISTRY.RUVA" queryTableFieldId="51" dataDxfId="145"/>
    <tableColumn id="53" xr3:uid="{734216B4-9834-4FCB-8EE0-7C4DB808DA4A}" uniqueName="53" name="PARAMETER.CHEMISTRY.ABFALLSCHLUESSEL" queryTableFieldId="53"/>
    <tableColumn id="52" xr3:uid="{D88B7B86-791C-4BBC-A187-CF50C8E9C777}" uniqueName="52" name="PARAMETER.CHEMISTRY.LFS" queryTableFieldId="52" dataDxfId="14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A7DA7E-599E-4FE3-A11B-7BE3C7C8E473}" name="Haufwerk_Data_Table_2" displayName="Haufwerk_Data_Table_2" ref="A1:BF8" tableType="queryTable" totalsRowShown="0">
  <autoFilter ref="A1:BF8" xr:uid="{9FA7DA7E-599E-4FE3-A11B-7BE3C7C8E473}"/>
  <tableColumns count="58">
    <tableColumn id="1" xr3:uid="{7AE61C61-AA0A-4729-A81B-CD0B6A0D46EB}" uniqueName="1" name="PROBE.ID" queryTableFieldId="1"/>
    <tableColumn id="53" xr3:uid="{3DC920FF-93E8-4C79-BBBC-1844F3CC2DB4}" uniqueName="53" name="PROBE.TYPE" queryTableFieldId="54"/>
    <tableColumn id="2" xr3:uid="{DBBE458C-4E52-40DC-8ABB-6AFE5789D0E3}" uniqueName="2" name="PROBE.NUMMER" queryTableFieldId="2"/>
    <tableColumn id="3" xr3:uid="{ECB456BC-7C1D-441D-9130-5081E5CF99F2}" uniqueName="3" name="PROBE.DATUM" queryTableFieldId="3" dataDxfId="143"/>
    <tableColumn id="4" xr3:uid="{C6F972C3-649E-4A20-A063-59D62521B906}" uniqueName="4" name="PROBE.PRUEFER" queryTableFieldId="4"/>
    <tableColumn id="5" xr3:uid="{DBFBB6FA-C7C2-4131-AA43-1A965AD56F2B}" uniqueName="5" name="PROBE.BEREICH" queryTableFieldId="5"/>
    <tableColumn id="6" xr3:uid="{3D5ED208-39EA-485C-A797-EA66848ED708}" uniqueName="6" name="PROBE.ANSPRECHPARTNER" queryTableFieldId="6"/>
    <tableColumn id="7" xr3:uid="{29376ED9-B9D9-4185-B0B1-FC09F7D20D80}" uniqueName="7" name="PROBE.KOORDINATEN" queryTableFieldId="7"/>
    <tableColumn id="8" xr3:uid="{AD23C8D5-8559-4424-83C6-6A8C7A925072}" uniqueName="8" name="PROBE.ORT" queryTableFieldId="8"/>
    <tableColumn id="9" xr3:uid="{4E81F12C-5CD4-4196-ACE4-39464AA5EFD6}" uniqueName="9" name="SAMPLE.ID" queryTableFieldId="9"/>
    <tableColumn id="10" xr3:uid="{AF77E532-7A01-4AD9-AAC3-CE42D02C3500}" uniqueName="10" name="SAMPLE.PROBE.ID" queryTableFieldId="10"/>
    <tableColumn id="11" xr3:uid="{3626BEB6-9C5F-49FB-B0DD-4381104C16FE}" uniqueName="11" name="SAMPLE.CHEMISTRY.ID" queryTableFieldId="11"/>
    <tableColumn id="54" xr3:uid="{D4B40159-0039-4CE4-871B-B1C070F2B285}" uniqueName="54" name="SAMPLE.TYPE" queryTableFieldId="55"/>
    <tableColumn id="12" xr3:uid="{46A7CA35-ED49-4672-AB16-05FAA793E4A2}" uniqueName="12" name="SAMPLE.NUMMER" queryTableFieldId="12"/>
    <tableColumn id="13" xr3:uid="{DDED9125-A0E4-479F-8987-14F22DF751EE}" uniqueName="13" name="SAMPLE.AUFSCHLUSS" queryTableFieldId="13"/>
    <tableColumn id="14" xr3:uid="{C3C3DA87-88E8-4D83-A4D2-D0E68893E866}" uniqueName="14" name="SAMPLE.ART" queryTableFieldId="14"/>
    <tableColumn id="15" xr3:uid="{2E9B6E7F-CC81-47C0-81F0-CD8467DA4097}" uniqueName="15" name="SAMPLE.KOERNUNG" queryTableFieldId="15" dataDxfId="142"/>
    <tableColumn id="16" xr3:uid="{F89C036C-3F19-4257-BF05-C8E45A9E37FE}" uniqueName="16" name="SAMPLE.ABFALLART" queryTableFieldId="16"/>
    <tableColumn id="17" xr3:uid="{EBF8F8E5-BE71-40EC-B4F9-5F0DE3997CF9}" uniqueName="17" name="SAMPLE.VOLUMEN" queryTableFieldId="17"/>
    <tableColumn id="18" xr3:uid="{75A378CD-A1B2-42DC-A6FA-E775C3904677}" uniqueName="18" name="SAMPLE.PROBEN" queryTableFieldId="18"/>
    <tableColumn id="19" xr3:uid="{FB403A30-81B9-4943-A779-BB87E501CDA2}" uniqueName="19" name="SAMPLE.BEHAELTNIS" queryTableFieldId="19"/>
    <tableColumn id="20" xr3:uid="{DD43D245-CB8B-4083-BCF8-2B1E99C0BC3C}" uniqueName="20" name="SAMPLE.FARBE" queryTableFieldId="20"/>
    <tableColumn id="21" xr3:uid="{2F0BCBDD-684B-4A79-84E4-8131ECDAB003}" uniqueName="21" name="SAMPLE.GERUCH" queryTableFieldId="21"/>
    <tableColumn id="22" xr3:uid="{EA039CDC-6071-43AB-86FD-3614DB47E410}" uniqueName="22" name="SAMPLE.BODENKLASSE" queryTableFieldId="22"/>
    <tableColumn id="23" xr3:uid="{A2BAE3FE-B0AC-42FE-B3F0-D03A42A5FAB7}" uniqueName="23" name="SAMPLE.PECH" queryTableFieldId="23"/>
    <tableColumn id="24" xr3:uid="{FBB43BFB-0C25-443B-A077-2DF3876EDDCF}" uniqueName="24" name="SAMPLE.BODENART" queryTableFieldId="24"/>
    <tableColumn id="25" xr3:uid="{45CE2BA8-059D-4D3E-850A-43D4C094FD85}" uniqueName="25" name="SAMPLE.NOTIZ" queryTableFieldId="25"/>
    <tableColumn id="26" xr3:uid="{E301FA43-FDA6-4698-96EC-FF0ADBCB1245}" uniqueName="26" name="PARAMETER.CHEMISTRY.ID" queryTableFieldId="26" dataDxfId="141"/>
    <tableColumn id="27" xr3:uid="{902891BF-4C44-4429-AE57-3AAD8935F399}" uniqueName="27" name="PARAMETER.CHEMISTRY.MUFV" queryTableFieldId="27" dataDxfId="140"/>
    <tableColumn id="28" xr3:uid="{0163579B-8675-4915-B82E-5DDFFC21F068}" uniqueName="28" name="PARAMETER.CHEMISTRY.MUFV_PARAMETER" queryTableFieldId="28" dataDxfId="139"/>
    <tableColumn id="55" xr3:uid="{A9FEDD9F-40DA-423C-89FE-99B1B47F3B55}" uniqueName="55" name="PARAMETER.CHEMISTRY.MKUEM" queryTableFieldId="66"/>
    <tableColumn id="29" xr3:uid="{3E687AF0-BFDA-4066-8D85-AC750FB27FDA}" uniqueName="29" name="PARAMETER.CHEMISTRY.ASBEST" queryTableFieldId="29" dataDxfId="138"/>
    <tableColumn id="30" xr3:uid="{71C9984E-D894-44FC-9976-9D93D2D21604}" uniqueName="30" name="PARAMETER.CHEMISTRY.KMF" queryTableFieldId="30" dataDxfId="137"/>
    <tableColumn id="31" xr3:uid="{8B4C8DA6-6572-4699-A05F-09F5E4C19362}" uniqueName="31" name="PARAMETER.CHEMISTRY.PAK" queryTableFieldId="31" dataDxfId="136"/>
    <tableColumn id="32" xr3:uid="{B9B85D41-AFCE-4533-B5E6-24125385408D}" uniqueName="32" name="PARAMETER.CHEMISTRY.PCB" queryTableFieldId="32" dataDxfId="135"/>
    <tableColumn id="33" xr3:uid="{F4507179-85F8-426A-A8E6-400631C082EF}" uniqueName="33" name="PARAMETER.CHEMISTRY.BTEX" queryTableFieldId="33" dataDxfId="134"/>
    <tableColumn id="34" xr3:uid="{F3FA9695-3EFB-421B-9F14-E940B7BAEE97}" uniqueName="34" name="PARAMETER.CHEMISTRY.EOX" queryTableFieldId="34" dataDxfId="133"/>
    <tableColumn id="35" xr3:uid="{CA6C8245-C111-46C2-9973-26638FB0340B}" uniqueName="35" name="PARAMETER.CHEMISTRY.PHENOLE" queryTableFieldId="35" dataDxfId="132"/>
    <tableColumn id="36" xr3:uid="{55CE9F12-B661-4590-8250-B3BFBF790071}" uniqueName="36" name="PARAMETER.CHEMISTRY.ICP_SCREENING" queryTableFieldId="36" dataDxfId="131"/>
    <tableColumn id="37" xr3:uid="{D164A852-28EB-4196-B9BD-1F98D08D34C5}" uniqueName="37" name="PARAMETER.CHEMISTRY.MKW_C10_C22" queryTableFieldId="37" dataDxfId="130"/>
    <tableColumn id="38" xr3:uid="{297CC18C-733C-440E-806A-C6A285362C3F}" uniqueName="38" name="PARAMETER.CHEMISTRY.MKW_C10_C40" queryTableFieldId="38" dataDxfId="129"/>
    <tableColumn id="39" xr3:uid="{080E079B-0396-48D3-8E4D-F432AA3CE2B6}" uniqueName="39" name="PARAMETER.CHEMISTRY.SULFAT" queryTableFieldId="39" dataDxfId="128"/>
    <tableColumn id="40" xr3:uid="{0F406AE1-339B-449F-B1B8-F8BDD57E1A1E}" uniqueName="40" name="PARAMETER.CHEMISTRY.ALTHOLZ_VERORDNUNG" queryTableFieldId="40" dataDxfId="127"/>
    <tableColumn id="41" xr3:uid="{4F984E01-9D95-4FF1-A5E7-7AFCE5900571}" uniqueName="41" name="PARAMETER.CHEMISTRY.FCKW" queryTableFieldId="41" dataDxfId="126"/>
    <tableColumn id="42" xr3:uid="{CD504F65-4317-4929-A9B0-3E95534C4D14}" uniqueName="42" name="PARAMETER.CHEMISTRY.HBCD" queryTableFieldId="42" dataDxfId="125"/>
    <tableColumn id="43" xr3:uid="{EBC9A661-FC40-4D4E-9852-FCCDDB64CEFE}" uniqueName="43" name="PARAMETER.CHEMISTRY.LAGA_BO" queryTableFieldId="43" dataDxfId="124"/>
    <tableColumn id="44" xr3:uid="{87F8EBEA-4032-4611-B364-574506B13F1D}" uniqueName="44" name="PARAMETER.CHEMISTRY.LAGA_RC" queryTableFieldId="44" dataDxfId="123"/>
    <tableColumn id="45" xr3:uid="{D1FA07D6-1F78-4552-AAC1-A43F8A241C15}" uniqueName="45" name="PARAMETER.CHEMISTRY.LAGA_RC_ORIENTIERUNGSWERT" queryTableFieldId="45" dataDxfId="122"/>
    <tableColumn id="56" xr3:uid="{BD6FE94E-42B3-4146-A5B5-CBE8107597E1}" uniqueName="56" name="PARAMETER.CHEMISTRY.EBV_BODEN" queryTableFieldId="59"/>
    <tableColumn id="57" xr3:uid="{9689A066-DF35-4A4F-A2B1-65366D9C9110}" uniqueName="57" name="PARAMETER.CHEMISTRY.EBV_BAUSCHUTT" queryTableFieldId="60"/>
    <tableColumn id="58" xr3:uid="{0DD61F11-EC30-4E2C-B1D8-5F6FDD7011FF}" uniqueName="58" name="PARAMETER.CHEMISTRY.EBV_UEBERWACHUNGSWERT" queryTableFieldId="61"/>
    <tableColumn id="46" xr3:uid="{EE9E9F84-F22A-4D36-9E69-73379F14B8AC}" uniqueName="46" name="PARAMETER.CHEMISTRY.TL_GESTEIN" queryTableFieldId="46" dataDxfId="121"/>
    <tableColumn id="47" xr3:uid="{61C447EC-A975-407A-AC35-08B9EBA86685}" uniqueName="47" name="PARAMETER.CHEMISTRY.DEPV" queryTableFieldId="47" dataDxfId="120"/>
    <tableColumn id="48" xr3:uid="{C658E730-A7C7-4CE8-ABF0-9884889D6E2C}" uniqueName="48" name="PARAMETER.CHEMISTRY.ENTSCHEIDUNGSHILFE" queryTableFieldId="48" dataDxfId="119"/>
    <tableColumn id="49" xr3:uid="{0E2F03C5-E7E3-4E58-95F2-1B5CCF153376}" uniqueName="49" name="PARAMETER.CHEMISTRY.REKU" queryTableFieldId="49" dataDxfId="118"/>
    <tableColumn id="50" xr3:uid="{D490B33E-7ED1-4745-AFE3-BC2A63A7AA99}" uniqueName="50" name="PARAMETER.CHEMISTRY.RUVA" queryTableFieldId="50" dataDxfId="117"/>
    <tableColumn id="52" xr3:uid="{6199C61B-A27F-4544-9925-5CFC024EBB4C}" uniqueName="52" name="PARAMETER.CHEMISTRY.ABFALLSCHLUESSEL" queryTableFieldId="52"/>
    <tableColumn id="51" xr3:uid="{CB98700F-4522-4950-B18F-1A01DD9B2426}" uniqueName="51" name="PARAMETER.CHEMISTRY.LFS" queryTableFieldId="51" dataDxfId="11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B44AD0-D5D7-4E41-9CF9-E2AE554DD388}" name="Erkundungsstelle_Data_Table_2" displayName="Erkundungsstelle_Data_Table_2" ref="A1:DE52" tableType="queryTable" totalsRowShown="0">
  <autoFilter ref="A1:DE52" xr:uid="{68B44AD0-D5D7-4E41-9CF9-E2AE554DD388}"/>
  <tableColumns count="109">
    <tableColumn id="1" xr3:uid="{9E8EC01D-0CE6-4A48-895C-6B89FFBF7FEC}" uniqueName="1" name="PROBE.ID" queryTableFieldId="1"/>
    <tableColumn id="104" xr3:uid="{FCC2BCC1-9336-4E8F-8769-5A33F82B27DF}" uniqueName="104" name="PROBE.TYPE" queryTableFieldId="107"/>
    <tableColumn id="2" xr3:uid="{DAA9F0F4-FD19-4D1B-90A2-FAE99E8AAACB}" uniqueName="2" name="PROBE.NUMMER" queryTableFieldId="2"/>
    <tableColumn id="4" xr3:uid="{B6CF812C-9757-445A-A35F-283A0D97A559}" uniqueName="4" name="PROBE.DATUM" queryTableFieldId="4" dataDxfId="115"/>
    <tableColumn id="5" xr3:uid="{3FD9BBE2-79F5-428A-B0CB-1196C4763FAA}" uniqueName="5" name="PROBE.PRUEFER" queryTableFieldId="5"/>
    <tableColumn id="6" xr3:uid="{750A406B-11E9-42DE-A930-07ECE68496A3}" uniqueName="6" name="PROBE.BEREICH" queryTableFieldId="6"/>
    <tableColumn id="7" xr3:uid="{F105B45F-69D6-4592-8BA7-13AC6F361B7D}" uniqueName="7" name="PROBE.ANSPRECHPARTNER" queryTableFieldId="7"/>
    <tableColumn id="8" xr3:uid="{1B4189D3-3982-47CF-AD74-E943BC1BAAC5}" uniqueName="8" name="PROBE.KOORDINATEN" queryTableFieldId="8"/>
    <tableColumn id="9" xr3:uid="{E610BE82-5137-4EA3-8B96-5B52961BCE73}" uniqueName="9" name="PROBE.ORT" queryTableFieldId="9"/>
    <tableColumn id="10" xr3:uid="{1F9A2CF3-B4C4-4778-843B-75816652802D}" uniqueName="10" name="PROBE.AUFSCHLUSS_OB" queryTableFieldId="10"/>
    <tableColumn id="11" xr3:uid="{FE249256-795E-4575-91FE-C2DD3894A2FC}" uniqueName="11" name="PROBE.AUFSCHLUSS_TOB" queryTableFieldId="11"/>
    <tableColumn id="12" xr3:uid="{3D9F2CC4-DF17-4078-91B0-1487674B2E0C}" uniqueName="12" name="PROBE.AUFSCHLUSS_UG_OH_BA" queryTableFieldId="12"/>
    <tableColumn id="13" xr3:uid="{1AE63F1F-0E03-4EC2-8A21-B9961AB45CCF}" uniqueName="13" name="PROBE.OBERKANTE" queryTableFieldId="13"/>
    <tableColumn id="14" xr3:uid="{8FD7A358-281E-4758-89FD-820A1D2BC97F}" uniqueName="14" name="PROBE.BELASTUNGSKLASSE" queryTableFieldId="14"/>
    <tableColumn id="15" xr3:uid="{119BF7AD-7223-4FF3-BC4A-10196D7F7C69}" uniqueName="15" name="PROBE.BELASTUNGSKLASSE_TAFEL" queryTableFieldId="15"/>
    <tableColumn id="16" xr3:uid="{1BA5ECC9-4AF4-402B-A055-5E3891FC8B6E}" uniqueName="16" name="PROBE.PECH_QUALITATIV" queryTableFieldId="16"/>
    <tableColumn id="17" xr3:uid="{8C21226A-F124-41FA-BB1C-F7CF2B5C9419}" uniqueName="17" name="PROBE.PECH_HALBQUANTITATIV" queryTableFieldId="17"/>
    <tableColumn id="18" xr3:uid="{EAA44F25-5824-4E48-ABE4-18EB3EC217FF}" uniqueName="18" name="PROBE.PECH_QUANTITATIV" queryTableFieldId="18"/>
    <tableColumn id="19" xr3:uid="{214F9EED-637B-40E0-94AB-D4AC3C92D41E}" uniqueName="19" name="PROBE.TRAG_PLANUM" queryTableFieldId="19"/>
    <tableColumn id="20" xr3:uid="{280B435A-E1D0-437D-B9A5-3904210C2FA2}" uniqueName="20" name="PROBE.TRAG_GRABENSOHLE" queryTableFieldId="20"/>
    <tableColumn id="21" xr3:uid="{041BB350-C6D0-4732-9C48-860C9EB78A7D}" uniqueName="21" name="PROBE.SOHLE_TIEFE" queryTableFieldId="21"/>
    <tableColumn id="22" xr3:uid="{02547189-0FE7-4B8D-8224-816EB1822765}" uniqueName="22" name="PROBE.VERBUND_UNTERLAGE" queryTableFieldId="22"/>
    <tableColumn id="23" xr3:uid="{DE6CC147-E2F1-4903-BE92-38DD740D4334}" uniqueName="23" name="PROBE.ZIELTIEFE" queryTableFieldId="23"/>
    <tableColumn id="24" xr3:uid="{38024375-7805-490A-BC36-EA48F92DDDCE}" uniqueName="24" name="PROBE.FOOTNOTE_1" queryTableFieldId="24"/>
    <tableColumn id="25" xr3:uid="{36DE9BE5-86B3-44A3-AA12-C50D80CB931A}" uniqueName="25" name="PROBE.FOOTNOTE_2" queryTableFieldId="25"/>
    <tableColumn id="26" xr3:uid="{40E851F6-D7A9-44C6-8FF6-0A225CEB90C3}" uniqueName="26" name="PROBE.FOOTNOTE_3" queryTableFieldId="26"/>
    <tableColumn id="27" xr3:uid="{9ACD4550-AA9D-4A33-A78C-7FE444E4CC6A}" uniqueName="27" name="PROBE.FOOTNOTE_4" queryTableFieldId="27"/>
    <tableColumn id="28" xr3:uid="{E9002E16-BECA-44DE-BAB9-5A2365F72ED1}" uniqueName="28" name="PROBE.FOOTNOTE_5" queryTableFieldId="28"/>
    <tableColumn id="29" xr3:uid="{F5D2A0F4-25F6-4DD9-9718-004F43DE6A32}" uniqueName="29" name="PROBE.FOOTNOTE_6" queryTableFieldId="29"/>
    <tableColumn id="30" xr3:uid="{AA8F0A21-7F5C-479C-860B-D7DAE720301C}" uniqueName="30" name="PROBE.FOOTNOTE_7" queryTableFieldId="30"/>
    <tableColumn id="31" xr3:uid="{C2D7DBB3-FAF0-40E0-A98C-B3CE22CAF3B9}" uniqueName="31" name="PROBE.FOOTNOTE_8" queryTableFieldId="31"/>
    <tableColumn id="32" xr3:uid="{50D967BA-9F24-46E2-AB16-5D9D9C2DE26F}" uniqueName="32" name="PROBE.FOOTNOTE_9" queryTableFieldId="32"/>
    <tableColumn id="33" xr3:uid="{89FD582F-A891-463C-B95B-CE3C9737014E}" uniqueName="33" name="PROBE.FOOTNOTE_10" queryTableFieldId="33"/>
    <tableColumn id="34" xr3:uid="{27EFE88F-AF3D-4618-A385-B9D49E123058}" uniqueName="34" name="SAMPLE.ID" queryTableFieldId="34"/>
    <tableColumn id="35" xr3:uid="{09F2026E-E029-40C0-8427-56529E8279DC}" uniqueName="35" name="SAMPLE.PROBE.ID" queryTableFieldId="35"/>
    <tableColumn id="36" xr3:uid="{712E041D-9D74-4159-8E9F-975C403D02AF}" uniqueName="36" name="SAMPLE.CHEMISTRY.ID" queryTableFieldId="36"/>
    <tableColumn id="37" xr3:uid="{4EA87F82-9510-47BE-A67E-0663B2F085EE}" uniqueName="37" name="SAMPLE.RUK.ID" queryTableFieldId="37"/>
    <tableColumn id="3" xr3:uid="{CF11F987-D8B5-471A-9F32-B7AF1AD082D1}" uniqueName="3" name="SAMPLE.LP.ID" queryTableFieldId="105"/>
    <tableColumn id="105" xr3:uid="{54C86CCD-CC7C-4E71-BE8E-C52E2DC0346E}" uniqueName="105" name="SAMPLE.TYPE" queryTableFieldId="108"/>
    <tableColumn id="38" xr3:uid="{36308317-2B40-42A6-AE29-002D9ECD3E48}" uniqueName="38" name="SAMPLE.NUMMER" queryTableFieldId="38"/>
    <tableColumn id="39" xr3:uid="{043D8BC2-0563-4A0D-B74A-E475C3A94882}" uniqueName="39" name="SAMPLE.AUFSCHLUSS" queryTableFieldId="39"/>
    <tableColumn id="40" xr3:uid="{DB558AB3-7A1F-4F41-A60E-C8FE409ADE22}" uniqueName="40" name="SAMPLE.ART" queryTableFieldId="40"/>
    <tableColumn id="41" xr3:uid="{8B4D18A7-585B-4D14-9808-1BD2AAA39363}" uniqueName="41" name="SAMPLE.KOERNUNG" queryTableFieldId="41"/>
    <tableColumn id="42" xr3:uid="{48401114-63CB-4CD6-A101-A8F09B652CB5}" uniqueName="42" name="SAMPLE.BODENKLASSE" queryTableFieldId="42"/>
    <tableColumn id="43" xr3:uid="{DBFF27C8-19DC-446F-9AF4-FD7A8652B692}" uniqueName="43" name="SAMPLE.DICKE" queryTableFieldId="43"/>
    <tableColumn id="44" xr3:uid="{29FA1429-E9A7-41DB-BA6D-DA998A33A8E5}" uniqueName="44" name="SAMPLE.TIEFE_START" queryTableFieldId="44"/>
    <tableColumn id="45" xr3:uid="{CA804883-2731-4BB4-B307-8D7E41A4762D}" uniqueName="45" name="SAMPLE.TIEFE_ENDE" queryTableFieldId="45"/>
    <tableColumn id="46" xr3:uid="{F33C5DCE-3440-4E0C-B1ED-46DECA4FAD10}" uniqueName="46" name="SAMPLE.PECH" queryTableFieldId="46"/>
    <tableColumn id="47" xr3:uid="{1C507EE6-590F-4EE9-85AC-D3901B55EC77}" uniqueName="47" name="SAMPLE.RUNDUNGSGRAD_GESTUFTHEIT" queryTableFieldId="47"/>
    <tableColumn id="48" xr3:uid="{7FE5E1CC-D927-4AAC-A996-C64724929349}" uniqueName="48" name="SAMPLE.FARBE" queryTableFieldId="48"/>
    <tableColumn id="49" xr3:uid="{FEF12A5E-AE22-4BE4-B2D4-37A57EFAFC83}" uniqueName="49" name="SAMPLE.BODENART" queryTableFieldId="49"/>
    <tableColumn id="50" xr3:uid="{7877F63D-5267-4CDF-96BF-FC9DB1190D30}" uniqueName="50" name="SAMPLE.KONSISTENZ" queryTableFieldId="50"/>
    <tableColumn id="51" xr3:uid="{CC89C17E-DBA6-4999-8AB1-EBD0F40B590A}" uniqueName="51" name="SAMPLE.FEUCHTIGKEIT" queryTableFieldId="51"/>
    <tableColumn id="52" xr3:uid="{AC3D09CD-80F6-4EB3-98A9-6AE5323B1788}" uniqueName="52" name="SAMPLE.WASSERGEHALT" queryTableFieldId="52"/>
    <tableColumn id="53" xr3:uid="{99F2CACC-83CC-4D61-B342-5F4DF5FA154D}" uniqueName="53" name="SAMPLE.WASSERPROCTOR" queryTableFieldId="53"/>
    <tableColumn id="54" xr3:uid="{0880B6DF-85F5-43F6-A893-083F5BC26B7B}" uniqueName="54" name="SAMPLE.NOTIZ" queryTableFieldId="54"/>
    <tableColumn id="55" xr3:uid="{8CFCB1A8-91DA-4D48-B6CA-CB0372F0A37C}" uniqueName="55" name="SAMPLE.BEHAELTNIS" queryTableFieldId="55"/>
    <tableColumn id="56" xr3:uid="{6BEBE9FC-8237-4568-8E1E-2AE85632C612}" uniqueName="56" name="SAMPLE.ABFALLART" queryTableFieldId="56"/>
    <tableColumn id="57" xr3:uid="{D9FB8508-4B25-47A7-A14D-142A925061AE}" uniqueName="57" name="SAMPLE.GERUCH" queryTableFieldId="57"/>
    <tableColumn id="58" xr3:uid="{D3BF9563-40D5-4616-99CD-753B83E8E3E7}" uniqueName="58" name="SAMPLE.KORNGROESSENVERTEILUNG" queryTableFieldId="58"/>
    <tableColumn id="59" xr3:uid="{864D50C8-C0F2-42E5-9E2C-8488596CB6B7}" uniqueName="59" name="SAMPLE.DRUCKFESTIGKEIT" queryTableFieldId="59"/>
    <tableColumn id="60" xr3:uid="{B4490920-445A-4F79-9224-AD886D8DEC0C}" uniqueName="60" name="SAMPLE.FROSTEMPFINDLICHKEITSKLASSE" queryTableFieldId="60"/>
    <tableColumn id="61" xr3:uid="{D9ED3769-4F68-4239-BD52-564F30D7C784}" uniqueName="61" name="SAMPLE.VERDICHTUNGSFAEHIGKEIT" queryTableFieldId="61"/>
    <tableColumn id="62" xr3:uid="{CF779DA6-4A2C-4C2D-BF62-15738565C5A6}" uniqueName="62" name="SAMPLE.HOMOGENBEREICH" queryTableFieldId="62"/>
    <tableColumn id="63" xr3:uid="{4787C326-A33F-4C09-A68A-B94CA7D631CE}" uniqueName="63" name="PARAMETER.LP.ID" queryTableFieldId="63"/>
    <tableColumn id="64" xr3:uid="{276EB836-B908-4948-9054-0CCD77841DEF}" uniqueName="64" name="PARAMETER.LP.NUMMER" queryTableFieldId="64"/>
    <tableColumn id="65" xr3:uid="{7C5263A6-336F-40BA-9D8E-4AB146780A7A}" uniqueName="65" name="PARAMETER.LP.WERT_1" queryTableFieldId="65"/>
    <tableColumn id="66" xr3:uid="{93B01517-1DFC-4A62-AFA9-AFA8431B37BC}" uniqueName="66" name="PARAMETER.LP.WERT_2" queryTableFieldId="66"/>
    <tableColumn id="67" xr3:uid="{5466470D-93AD-472B-89AB-E658F603421C}" uniqueName="67" name="PARAMETER.LP.WERT_3" queryTableFieldId="67"/>
    <tableColumn id="68" xr3:uid="{07F0C1EC-4DAE-49C6-BFE2-792A9B6C0256}" uniqueName="68" name="PARAMETER.LP.MITTELWERT" queryTableFieldId="68" dataDxfId="114"/>
    <tableColumn id="69" xr3:uid="{AAD868B0-3F43-4FD3-8C87-C56DEC04ECC3}" uniqueName="69" name="PARAMETER.LP.EV" queryTableFieldId="69"/>
    <tableColumn id="70" xr3:uid="{1AE8B2AB-D295-4F5A-B089-DF47BBD7845C}" uniqueName="70" name="PARAMETER.LP.EV85" queryTableFieldId="70" dataDxfId="113"/>
    <tableColumn id="71" xr3:uid="{B2B0DC0A-4F06-4037-BF53-4869770EDC23}" uniqueName="71" name="PARAMETER.LP.EV2" queryTableFieldId="71" dataDxfId="112"/>
    <tableColumn id="72" xr3:uid="{DA5C5CCD-7E80-43D9-8DD9-A0E488726C1D}" uniqueName="72" name="PARAMETER.LP.EV2_SOLL" queryTableFieldId="72"/>
    <tableColumn id="73" xr3:uid="{F8E6C1E0-5238-47F1-9496-3F589DD743E3}" uniqueName="73" name="PARAMETER.RUK.ID" queryTableFieldId="73"/>
    <tableColumn id="74" xr3:uid="{CD6F21F2-CE1B-4BED-85B7-DCD5D0D4254F}" uniqueName="74" name="PARAMETER.RUK.NUMMER" queryTableFieldId="74"/>
    <tableColumn id="75" xr3:uid="{591BB3A8-5710-4DC5-810C-9FEE6F3B57AA}" uniqueName="75" name="PARAMETER.RUK.PROBENART" queryTableFieldId="75"/>
    <tableColumn id="76" xr3:uid="{745875F0-6971-4167-B7CE-69BF14FEE68C}" uniqueName="76" name="PARAMETER.RUK.WERT" queryTableFieldId="76" dataDxfId="111"/>
    <tableColumn id="77" xr3:uid="{BE683E9B-8FDA-40E0-9D5F-6DE1618EE920}" uniqueName="77" name="PARAMETER.CHEMISTRY.ID" queryTableFieldId="77" dataDxfId="110"/>
    <tableColumn id="78" xr3:uid="{49EFDBAC-19CC-4661-B008-77A9DBA07868}" uniqueName="78" name="PARAMETER.CHEMISTRY.MUFV" queryTableFieldId="78" dataDxfId="109"/>
    <tableColumn id="79" xr3:uid="{0715B054-3D90-4ECF-B353-252F004A4F5B}" uniqueName="79" name="PARAMETER.CHEMISTRY.MUFV_PARAMETER" queryTableFieldId="79" dataDxfId="108"/>
    <tableColumn id="106" xr3:uid="{96CADC9B-8CFB-468F-9008-A3108D95CE3F}" uniqueName="106" name="PARAMETER.CHEMISTRY.MKUEM" queryTableFieldId="119"/>
    <tableColumn id="80" xr3:uid="{36C55A8A-64FA-4C3C-813E-1FD0EBF52AA9}" uniqueName="80" name="PARAMETER.CHEMISTRY.ASBEST" queryTableFieldId="80" dataDxfId="107"/>
    <tableColumn id="81" xr3:uid="{62A408EB-C7AA-45EB-8EF4-A2E1ECC4C3CC}" uniqueName="81" name="PARAMETER.CHEMISTRY.KMF" queryTableFieldId="81" dataDxfId="106"/>
    <tableColumn id="82" xr3:uid="{62ED9188-F645-41A3-88F0-129B28CEF72F}" uniqueName="82" name="PARAMETER.CHEMISTRY.PAK" queryTableFieldId="82" dataDxfId="105"/>
    <tableColumn id="83" xr3:uid="{19B27EF8-A549-4C1F-9B42-9D430FCAFDFD}" uniqueName="83" name="PARAMETER.CHEMISTRY.PCB" queryTableFieldId="83" dataDxfId="104"/>
    <tableColumn id="84" xr3:uid="{408F9534-9EE6-4547-B5B1-2FBF85B7945F}" uniqueName="84" name="PARAMETER.CHEMISTRY.BTEX" queryTableFieldId="84" dataDxfId="103"/>
    <tableColumn id="85" xr3:uid="{F57E53A5-8FAA-486C-B91D-D459D982FF1A}" uniqueName="85" name="PARAMETER.CHEMISTRY.EOX" queryTableFieldId="85" dataDxfId="102"/>
    <tableColumn id="86" xr3:uid="{D5193380-2EA0-4671-B593-292D080CD9AF}" uniqueName="86" name="PARAMETER.CHEMISTRY.PHENOLE" queryTableFieldId="86" dataDxfId="101"/>
    <tableColumn id="87" xr3:uid="{70FBACBD-54B9-4FF4-98E6-304083C2881B}" uniqueName="87" name="PARAMETER.CHEMISTRY.ICP_SCREENING" queryTableFieldId="87" dataDxfId="100"/>
    <tableColumn id="88" xr3:uid="{8DC2F49B-FB91-43C4-B144-9D71FD8DE9DA}" uniqueName="88" name="PARAMETER.CHEMISTRY.MKW_C10_C22" queryTableFieldId="88" dataDxfId="99"/>
    <tableColumn id="89" xr3:uid="{8C619B32-F2ED-4154-A971-E54C0533BE46}" uniqueName="89" name="PARAMETER.CHEMISTRY.MKW_C10_C40" queryTableFieldId="89" dataDxfId="98"/>
    <tableColumn id="90" xr3:uid="{CBEF3DD2-C9EF-49A2-84C8-2AED4407ED4B}" uniqueName="90" name="PARAMETER.CHEMISTRY.SULFAT" queryTableFieldId="90" dataDxfId="97"/>
    <tableColumn id="91" xr3:uid="{FEA55896-E766-49D4-90F2-914EEDCB0AB2}" uniqueName="91" name="PARAMETER.CHEMISTRY.ALTHOLZ_VERORDNUNG" queryTableFieldId="91" dataDxfId="96"/>
    <tableColumn id="92" xr3:uid="{E7F2BD8B-E27A-4B4F-8A49-93F8BD7D18A0}" uniqueName="92" name="PARAMETER.CHEMISTRY.FCKW" queryTableFieldId="92" dataDxfId="95"/>
    <tableColumn id="93" xr3:uid="{816AEC63-0DEE-4627-8FC7-0E38BBD3281A}" uniqueName="93" name="PARAMETER.CHEMISTRY.HBCD" queryTableFieldId="93" dataDxfId="94"/>
    <tableColumn id="94" xr3:uid="{5D8D0448-FD28-4E36-B3BC-27D314DF815B}" uniqueName="94" name="PARAMETER.CHEMISTRY.LAGA_BO" queryTableFieldId="94" dataDxfId="93"/>
    <tableColumn id="95" xr3:uid="{B9F3D638-C332-49F7-8927-86D91BAC52D8}" uniqueName="95" name="PARAMETER.CHEMISTRY.LAGA_RC" queryTableFieldId="95" dataDxfId="92"/>
    <tableColumn id="96" xr3:uid="{732D813B-F681-4A3D-9F90-E49CDE81F912}" uniqueName="96" name="PARAMETER.CHEMISTRY.LAGA_RC_ORIENTIERUNGSWERT" queryTableFieldId="96" dataDxfId="91"/>
    <tableColumn id="107" xr3:uid="{2DA0DF45-A54F-481B-83CA-BE8DF0EA23A4}" uniqueName="107" name="PARAMETER.CHEMISTRY.EBV_BODEN" queryTableFieldId="112"/>
    <tableColumn id="108" xr3:uid="{4E2FE599-8EE0-4C10-A299-CE9A0DA0DCE7}" uniqueName="108" name="PARAMETER.CHEMISTRY.EBV_BAUSCHUTT" queryTableFieldId="113"/>
    <tableColumn id="109" xr3:uid="{E7EEF1C0-4457-4FAD-9DD9-8BE383736E07}" uniqueName="109" name="PARAMETER.CHEMISTRY.EBV_UEBERWACHUNGSWERT" queryTableFieldId="114"/>
    <tableColumn id="97" xr3:uid="{49B9CC8A-0EFC-4D0B-A20F-E8A8AE5A5B99}" uniqueName="97" name="PARAMETER.CHEMISTRY.TL_GESTEIN" queryTableFieldId="97" dataDxfId="90"/>
    <tableColumn id="98" xr3:uid="{16CD09D6-B40B-4446-A277-4972A7E14642}" uniqueName="98" name="PARAMETER.CHEMISTRY.DEPV" queryTableFieldId="98" dataDxfId="89"/>
    <tableColumn id="99" xr3:uid="{26DD249C-F520-4939-A0C4-C280C03D0BAE}" uniqueName="99" name="PARAMETER.CHEMISTRY.ENTSCHEIDUNGSHILFE" queryTableFieldId="99" dataDxfId="88"/>
    <tableColumn id="100" xr3:uid="{43436799-932D-409B-93DB-A33E627D925B}" uniqueName="100" name="PARAMETER.CHEMISTRY.REKU" queryTableFieldId="100" dataDxfId="87"/>
    <tableColumn id="101" xr3:uid="{4D536224-BE38-42C2-B331-302398CC0060}" uniqueName="101" name="PARAMETER.CHEMISTRY.RUVA" queryTableFieldId="101" dataDxfId="86"/>
    <tableColumn id="103" xr3:uid="{8F316140-9A18-44A3-9944-AED8094AAF05}" uniqueName="103" name="PARAMETER.CHEMISTRY.ABFALLSCHLUESSEL" queryTableFieldId="103"/>
    <tableColumn id="102" xr3:uid="{C0725693-557F-4BDE-A99E-BBD13771D559}" uniqueName="102" name="PARAMETER.CHEMISTRY.LFS" queryTableFieldId="102" dataDxfId="85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798AD61-D69C-4795-AA30-8A95903A2EEB}" name="Chemie.Table" displayName="Chemie.Table" ref="A1:AE13" totalsRowShown="0">
  <autoFilter ref="A1:AE13" xr:uid="{5055F3DA-5118-49AB-94C1-988D940BAC5E}"/>
  <tableColumns count="31">
    <tableColumn id="1" xr3:uid="{CF3E7D7D-2184-43F7-AD26-A5C5DC2DBC0C}" name="ID">
      <calculatedColumnFormula>"C"&amp;ROW()-2</calculatedColumnFormula>
    </tableColumn>
    <tableColumn id="2" xr3:uid="{1FB7B66B-3E06-4F57-84A1-17377703C7A1}" name="MUFV" dataDxfId="84"/>
    <tableColumn id="16" xr3:uid="{F565FB06-F30B-4649-95D8-DD20E060EF16}" name="MUFV_PARAMETER"/>
    <tableColumn id="28" xr3:uid="{BDD93455-6B0E-443D-B2CE-6EA1AA5B145D}" name="MKUEM"/>
    <tableColumn id="13" xr3:uid="{E6EDB688-FC55-444C-9F7B-C1F39FD439F1}" name="ASBEST"/>
    <tableColumn id="21" xr3:uid="{9C23E631-32E7-4113-839B-EB9DCB6A9E97}" name="KMF"/>
    <tableColumn id="22" xr3:uid="{CF5645A4-6E3F-4850-9209-807FFBF5327F}" name="PAK"/>
    <tableColumn id="14" xr3:uid="{B0A859D3-8252-4D96-BA34-5C0B0D8FE6A4}" name="PCB"/>
    <tableColumn id="15" xr3:uid="{CE7F4E55-F990-4590-8C54-B97AF1F2ABD2}" name="BTEX"/>
    <tableColumn id="17" xr3:uid="{DEC728F1-B5F3-4E77-B88D-CB84D247D785}" name="EOX"/>
    <tableColumn id="18" xr3:uid="{7F3FBD68-D22A-4358-86BC-44C21574A348}" name="PHENOLE"/>
    <tableColumn id="19" xr3:uid="{A9D7044D-2E2E-41D6-902A-EA2974BE7E56}" name="ICP_SCREENING"/>
    <tableColumn id="27" xr3:uid="{6FE26C6F-B64E-49A4-9A7A-29A35078CC2B}" name="MKW_C10_C22"/>
    <tableColumn id="26" xr3:uid="{7BB87486-4D5F-41A1-8B55-0EDEA94AD55A}" name="MKW_C10_C40"/>
    <tableColumn id="20" xr3:uid="{EB4FD206-3E48-493A-AE71-AE9FDD207995}" name="SULFAT"/>
    <tableColumn id="23" xr3:uid="{A44E25CE-0728-4F8E-A5F4-713A5BEE41FC}" name="ALTHOLZ_VERORDNUNG"/>
    <tableColumn id="24" xr3:uid="{A6A9086C-3D54-451E-A411-6CEF756F52A6}" name="FCKW"/>
    <tableColumn id="25" xr3:uid="{CAC275A8-7280-41F8-8F53-C45BEF2F29C6}" name="HBCD"/>
    <tableColumn id="4" xr3:uid="{14909196-102E-4331-B9BB-E93160803EDD}" name="LAGA_BO"/>
    <tableColumn id="5" xr3:uid="{9B02AC14-28EB-4028-A5DE-755D74B7BF42}" name="LAGA_RC"/>
    <tableColumn id="6" xr3:uid="{4DA16F2B-8C6C-498A-BA9A-835818892FB2}" name="LAGA_RC_ORIENTIERUNGSWERT"/>
    <tableColumn id="31" xr3:uid="{474F0CEA-2F11-4C96-A8A4-D4462ED6C26A}" name="EBV_BODEN"/>
    <tableColumn id="30" xr3:uid="{65A680E4-2E0A-4CD4-A103-81871FE2B327}" name="EBV_BAUSCHUTT"/>
    <tableColumn id="29" xr3:uid="{3D524F41-7225-47A4-9148-E62CC9085DAE}" name="EBV_UEBERWACHUNGSWERT"/>
    <tableColumn id="7" xr3:uid="{3887914E-26B2-45DC-B98A-E511B0021DC4}" name="TL_GESTEIN"/>
    <tableColumn id="8" xr3:uid="{7C95FF51-EF77-493A-8B5B-1EB6FD29F943}" name="DEPV"/>
    <tableColumn id="9" xr3:uid="{5F6F5E0E-A0A1-431C-B666-B257E77E954A}" name="ENTSCHEIDUNGSHILFE"/>
    <tableColumn id="11" xr3:uid="{E19BC793-3704-4866-94D9-2390B24E2FD1}" name="REKU"/>
    <tableColumn id="10" xr3:uid="{BE543024-0B29-4F64-80C4-FAA2AC1682B1}" name="RUVA"/>
    <tableColumn id="12" xr3:uid="{00D238F1-7621-421E-A1B3-868860293D6E}" name="ABFALLSCHLUESSEL"/>
    <tableColumn id="3" xr3:uid="{989C28D6-5306-48DE-984B-2D305EE905F3}" name="LFS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0D35800-9D67-48C4-AD9A-6C0A5709A897}" name="Ruk.Table" displayName="Ruk.Table" ref="A1:D8" totalsRowShown="0">
  <autoFilter ref="A1:D8" xr:uid="{10D35800-9D67-48C4-AD9A-6C0A5709A897}"/>
  <tableColumns count="4">
    <tableColumn id="1" xr3:uid="{8939B6B1-95AF-4C73-877C-EF82136B8050}" name="ID" dataDxfId="83">
      <calculatedColumnFormula>"A"&amp;ROW()-1</calculatedColumnFormula>
    </tableColumn>
    <tableColumn id="2" xr3:uid="{13C1D8F4-818C-4CFC-AC2E-0EFCBE09C492}" name="NUMMER">
      <calculatedColumnFormula>ROW()-1</calculatedColumnFormula>
    </tableColumn>
    <tableColumn id="3" xr3:uid="{9F345E23-C8F8-4090-B96B-0157641507E4}" name="PROBENART"/>
    <tableColumn id="4" xr3:uid="{2E6AB03A-BF29-41C2-8BA4-A164961B8601}" name="WERT" dataDxfId="82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B5D589-DA93-4F14-A4A4-7B60407AADCF}" name="Lp.Table" displayName="Lp.Table" ref="A1:J9" totalsRowShown="0">
  <autoFilter ref="A1:J9" xr:uid="{C5B5D589-DA93-4F14-A4A4-7B60407AADCF}"/>
  <tableColumns count="10">
    <tableColumn id="1" xr3:uid="{4F88403B-0C27-4180-BCBE-62627665E7D8}" name="ID" dataDxfId="81">
      <calculatedColumnFormula>"LP"&amp;ROW()-1</calculatedColumnFormula>
    </tableColumn>
    <tableColumn id="2" xr3:uid="{51F153C6-5FF1-44FD-B39F-464F5777D26F}" name="NUMMER" dataDxfId="80">
      <calculatedColumnFormula>ROW()-1</calculatedColumnFormula>
    </tableColumn>
    <tableColumn id="3" xr3:uid="{D635D0C6-EC46-4499-87D8-E68BA2217AC3}" name="WERT_1" dataDxfId="79"/>
    <tableColumn id="4" xr3:uid="{EB4DDFA1-C89E-49B6-A6D9-3E4EE912B328}" name="WERT_2" dataDxfId="78"/>
    <tableColumn id="5" xr3:uid="{675180B4-A186-4E41-9A3F-809597A2D137}" name="WERT_3" dataDxfId="77"/>
    <tableColumn id="6" xr3:uid="{1BCD8931-601C-4036-97BE-6890E0BB8E1A}" name="MITTELWERT" dataDxfId="76">
      <calculatedColumnFormula>IFERROR(AVERAGE(Lp.Table[[#This Row],[WERT_1]:[WERT_3]]),"")</calculatedColumnFormula>
    </tableColumn>
    <tableColumn id="7" xr3:uid="{E52EA34C-9206-4F8E-ADA8-4882EB8536D2}" name="EV" dataDxfId="75">
      <calculatedColumnFormula>IFERROR(ROUND(22.5/Lp.Table[[#This Row],[MITTELWERT]],1),"")</calculatedColumnFormula>
    </tableColumn>
    <tableColumn id="8" xr3:uid="{F82604BB-DC28-42BD-A51D-F8A987DCA29B}" name="EV85" dataDxfId="74">
      <calculatedColumnFormula>IFERROR(ROUND(Lp.Table[[#This Row],[EV]]*0.85,0),"")</calculatedColumnFormula>
    </tableColumn>
    <tableColumn id="9" xr3:uid="{DAF46846-3846-48E2-BAD5-98185ED0BC6A}" name="EV2" dataDxfId="73">
      <calculatedColumnFormula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calculatedColumnFormula>
    </tableColumn>
    <tableColumn id="10" xr3:uid="{AA071D99-1780-47A0-A0AA-A95524C364E0}" name="EV2_SOLL" dataDxfId="72">
      <calculatedColumnFormula>IF(Lp.Table[[#This Row],[EV2]] &lt;&gt; "",120,"")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8E13D-EE76-407A-9E41-2FEB0148ED29}" name="Erkundungsstelle.Table" displayName="Erkundungsstelle.Table" ref="A1:AG10" totalsRowShown="0">
  <autoFilter ref="A1:AG10" xr:uid="{AB98E13D-EE76-407A-9E41-2FEB0148ED29}"/>
  <tableColumns count="33">
    <tableColumn id="1" xr3:uid="{694A277F-BFC2-43E2-BA7B-9942E6414962}" name="ID"/>
    <tableColumn id="3" xr3:uid="{902726AA-755D-453F-843E-F3D3F46C8599}" name="TYPE" dataDxfId="71">
      <calculatedColumnFormula>"EXPLORATION"</calculatedColumnFormula>
    </tableColumn>
    <tableColumn id="2" xr3:uid="{5E32C2F2-99B1-4F86-B125-5BC77663FE3F}" name="NUMMER"/>
    <tableColumn id="4" xr3:uid="{4963561D-ADA7-4207-B968-F5A9A09EF179}" name="DATUM" dataDxfId="70"/>
    <tableColumn id="5" xr3:uid="{BABEC796-9288-4E03-98E0-189CC9C85F4E}" name="PRUEFER"/>
    <tableColumn id="6" xr3:uid="{F5F02E36-CA39-4C13-B20C-8F8174FB5913}" name="BEREICH"/>
    <tableColumn id="7" xr3:uid="{3BA5DD9E-3485-41BB-8101-869C4296A392}" name="ANSPRECHPARTNER"/>
    <tableColumn id="8" xr3:uid="{A6209035-F189-4F2E-851F-C6F2662A1CBC}" name="KOORDINATEN"/>
    <tableColumn id="9" xr3:uid="{87D511FA-CD62-41BA-A0D7-4472A003FB54}" name="ORT" dataDxfId="69"/>
    <tableColumn id="10" xr3:uid="{1A91CE2B-CBFA-4BAB-A2C1-65A006460EA7}" name="AUFSCHLUSS_OB"/>
    <tableColumn id="11" xr3:uid="{E40DE134-EE26-4DAA-B569-441A35FB1C72}" name="AUFSCHLUSS_TOB"/>
    <tableColumn id="12" xr3:uid="{2EDC2A4F-DFBA-481C-BAB2-FE041B42BF61}" name="AUFSCHLUSS_UG_OH_BA"/>
    <tableColumn id="13" xr3:uid="{7BECC057-57C3-4D58-943A-BAA271B200FA}" name="OBERKANTE"/>
    <tableColumn id="14" xr3:uid="{13962C6C-4D67-4590-AC1C-EF2A67992EBE}" name="BELASTUNGSKLASSE" dataDxfId="68"/>
    <tableColumn id="15" xr3:uid="{005F580A-41C6-4E6E-B207-2405CF08B91D}" name="BELASTUNGSKLASSE_TAFEL" dataDxfId="67"/>
    <tableColumn id="16" xr3:uid="{A6A8DDBC-4279-4C87-8EDB-79B61910EB77}" name="PECH_QUALITATIV"/>
    <tableColumn id="17" xr3:uid="{ABCDD1CD-9AAB-4E59-BE2F-EC4CE254BBE0}" name="PECH_HALBQUANTITATIV"/>
    <tableColumn id="18" xr3:uid="{05922D03-5ACF-4037-AF85-9EF0A5FA0909}" name="PECH_QUANTITATIV"/>
    <tableColumn id="19" xr3:uid="{5E72D703-7149-41C2-A1FC-BDA93E3344C0}" name="TRAG_PLANUM"/>
    <tableColumn id="20" xr3:uid="{832D25E4-A7DF-4DBA-AFCE-8E3CE850EEB6}" name="TRAG_GRABENSOHLE"/>
    <tableColumn id="21" xr3:uid="{4DD0F9B0-A1A0-4EB0-A971-FAC8B99DA42C}" name="SOHLE_TIEFE"/>
    <tableColumn id="22" xr3:uid="{11FC1A31-8292-4566-AF1D-75D2FCBEB090}" name="VERBUND_UNTERLAGE"/>
    <tableColumn id="32" xr3:uid="{423E5F5B-5073-4D7B-BADA-78B2740B7CB8}" name="ZIELTIEFE"/>
    <tableColumn id="36" xr3:uid="{0CA72B14-3646-46A0-A217-3F5200F047E2}" name="FOOTNOTE_1"/>
    <tableColumn id="37" xr3:uid="{94ED1A0B-97AB-4C40-82B3-6025DD599411}" name="FOOTNOTE_2"/>
    <tableColumn id="38" xr3:uid="{7120010A-7FC5-43A3-A271-3AFA5ED9824B}" name="FOOTNOTE_3"/>
    <tableColumn id="39" xr3:uid="{147E127B-98EE-4AD7-BAB7-B686813637F6}" name="FOOTNOTE_4"/>
    <tableColumn id="40" xr3:uid="{78CF2DD5-6B4F-47D2-8275-EBA1A8DE3F24}" name="FOOTNOTE_5"/>
    <tableColumn id="41" xr3:uid="{9EDE3CBF-AD53-441D-BF2C-71731A620EB8}" name="FOOTNOTE_6"/>
    <tableColumn id="42" xr3:uid="{E2734AE0-7AC1-45CB-B256-E1C1794C24BB}" name="FOOTNOTE_7"/>
    <tableColumn id="43" xr3:uid="{D342E588-7993-4930-A727-822C3942A49F}" name="FOOTNOTE_8"/>
    <tableColumn id="44" xr3:uid="{83DF9C65-535F-44C5-91ED-FE393845A009}" name="FOOTNOTE_9"/>
    <tableColumn id="45" xr3:uid="{19182B51-443B-460D-AE7B-D283BEFF3E52}" name="FOOTNOTE_10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6754EA-51DA-43DE-88B3-FBD64291D8EA}" name="Erkundungsstelle.Sample.Table" displayName="Erkundungsstelle.Sample.Table" ref="A1:AE52" totalsRowShown="0" headerRowDxfId="66" dataDxfId="64" headerRowBorderDxfId="65" totalsRowBorderDxfId="63">
  <autoFilter ref="A1:AE52" xr:uid="{686754EA-51DA-43DE-88B3-FBD64291D8EA}"/>
  <tableColumns count="31">
    <tableColumn id="1" xr3:uid="{91C060AF-C243-44E1-B59F-75CF712912AD}" name="ID" dataDxfId="62">
      <calculatedColumnFormula>"SE"&amp;ROW()-1</calculatedColumnFormula>
    </tableColumn>
    <tableColumn id="2" xr3:uid="{C1AB7AD2-4809-47B7-8FC9-45DB5AD896D3}" name="PROBE.ID" dataDxfId="61"/>
    <tableColumn id="3" xr3:uid="{15945C43-2B60-4D8F-ACAB-9ACD21399FCF}" name="CHEMISTRY.ID" dataDxfId="60"/>
    <tableColumn id="6" xr3:uid="{2E2003D6-DC6D-427B-AA28-5FF0F0AAC9CA}" name="RUK.ID" dataDxfId="59"/>
    <tableColumn id="14" xr3:uid="{A87AED5C-74B9-447D-A918-7858B73D3BAD}" name="LP.ID" dataDxfId="58"/>
    <tableColumn id="35" xr3:uid="{9DC8F817-DAF0-440E-918E-621E95ABE2EC}" name="TYPE">
      <calculatedColumnFormula>"LAYER"</calculatedColumnFormula>
    </tableColumn>
    <tableColumn id="4" xr3:uid="{818129A5-0350-4DD1-8519-3FB375782718}" name="NUMMER" dataDxfId="57"/>
    <tableColumn id="5" xr3:uid="{B8D76753-9945-45ED-8996-E2B7195D17C7}" name="AUFSCHLUSS" dataDxfId="56"/>
    <tableColumn id="7" xr3:uid="{C8B25736-B173-4636-8273-A63E6CE9DE59}" name="ART" dataDxfId="55"/>
    <tableColumn id="8" xr3:uid="{5B928228-798C-4090-AE3C-FC5384C6F7B4}" name="KOERNUNG" dataDxfId="54"/>
    <tableColumn id="9" xr3:uid="{9B7DEAA8-7982-476D-A4B8-64EA894AECE5}" name="BODENKLASSE" dataDxfId="53"/>
    <tableColumn id="10" xr3:uid="{C061F8C2-A081-45C0-93AD-15541AD44FBC}" name="DICKE" dataDxfId="52"/>
    <tableColumn id="11" xr3:uid="{82DF48D2-7631-4282-B880-1113EE32B247}" name="TIEFE_START" dataDxfId="51">
      <calculatedColumnFormula>Erkundungsstelle.Sample.Table[[#This Row],[TIEFE_ENDE]]-Erkundungsstelle.Sample.Table[[#This Row],[DICKE]]</calculatedColumnFormula>
    </tableColumn>
    <tableColumn id="12" xr3:uid="{E8695974-0841-431D-8CEE-D5CE0B176A5A}" name="TIEFE_ENDE" dataDxfId="50">
      <calculatedColumnFormula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calculatedColumnFormula>
    </tableColumn>
    <tableColumn id="13" xr3:uid="{B157073B-7518-471D-9947-0F09040FB444}" name="PECH" dataDxfId="49"/>
    <tableColumn id="15" xr3:uid="{99E311E3-5163-46E8-B93E-6F5FC5259D10}" name="RUNDUNGSGRAD_GESTUFTHEIT" dataDxfId="48"/>
    <tableColumn id="16" xr3:uid="{A285488D-B971-4C15-9449-E201188EB5A0}" name="FARBE" dataDxfId="47"/>
    <tableColumn id="17" xr3:uid="{249D57F6-5F41-44F1-9CCB-04120DD90F33}" name="BODENART" dataDxfId="46"/>
    <tableColumn id="18" xr3:uid="{962449DE-E035-48F1-87F4-7DEE52D490BD}" name="KONSISTENZ" dataDxfId="45"/>
    <tableColumn id="19" xr3:uid="{16FB7DBB-591F-4FC6-A65E-2DC7456CCCB0}" name="FEUCHTIGKEIT" dataDxfId="44"/>
    <tableColumn id="20" xr3:uid="{DD3E896D-5346-4DD2-B67B-707A5F8408B2}" name="WASSERGEHALT" dataDxfId="43"/>
    <tableColumn id="21" xr3:uid="{599B39F0-E5BE-474C-80B4-D61D25AB5240}" name="WASSERPROCTOR" dataDxfId="42"/>
    <tableColumn id="22" xr3:uid="{01691A17-D32C-4971-8CA9-4F4C45A5B3E8}" name="NOTIZ" dataDxfId="41"/>
    <tableColumn id="23" xr3:uid="{A82813FC-D25D-48BA-9D51-572FBA76D81D}" name="BEHAELTNIS" dataDxfId="40"/>
    <tableColumn id="24" xr3:uid="{12C181C0-EE5B-45AE-9E49-C30630519D23}" name="ABFALLART" dataDxfId="39">
      <calculatedColumnFormula array="1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calculatedColumnFormula>
    </tableColumn>
    <tableColumn id="25" xr3:uid="{E62E33D8-9999-49C2-87D1-747515766F48}" name="GERUCH" dataDxfId="38">
      <calculatedColumnFormula>IF(Erkundungsstelle.Sample.Table[[#This Row],[PECH]]="JA","auffällig",IF(Erkundungsstelle.Sample.Table[[#This Row],[ART]]&lt;&gt;"","neutral",""))</calculatedColumnFormula>
    </tableColumn>
    <tableColumn id="26" xr3:uid="{16A743AA-F638-4AEE-9BF9-4F1F81CBD1BF}" name="KORNGROESSENVERTEILUNG" dataDxfId="37"/>
    <tableColumn id="30" xr3:uid="{932C683F-5FBC-4118-A19E-789EE0DB27EF}" name="DRUCKFESTIGKEIT" dataDxfId="36"/>
    <tableColumn id="31" xr3:uid="{378F218B-DDAE-42CB-B447-8A70E953F1CF}" name="FROSTEMPFINDLICHKEITSKLASSE" dataDxfId="35"/>
    <tableColumn id="33" xr3:uid="{B3408F05-F99B-459D-B135-5652B7DCF447}" name="VERDICHTUNGSFAEHIGKEIT" dataDxfId="34"/>
    <tableColumn id="34" xr3:uid="{AC3E2064-5120-45EE-BC83-7C422B63A83A}" name="HOMOGENBEREICH" dataDxfId="33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81AB7-4CB7-4C37-909F-81BC9A75631F}" name="Haufwerk.Table" displayName="Haufwerk.Table" ref="A1:I5" totalsRowShown="0" headerRowDxfId="32">
  <autoFilter ref="A1:I5" xr:uid="{82681AB7-4CB7-4C37-909F-81BC9A75631F}"/>
  <tableColumns count="9">
    <tableColumn id="1" xr3:uid="{723E0C7C-29CB-4333-B738-AE7109312EC6}" name="ID"/>
    <tableColumn id="9" xr3:uid="{6CFABE1D-E1B7-4A06-B102-FCC1839C9C26}" name="TYPE">
      <calculatedColumnFormula>"HEAP"</calculatedColumnFormula>
    </tableColumn>
    <tableColumn id="2" xr3:uid="{C9EE29C7-8255-4EF9-83D8-E08FAAD17350}" name="NUMMER"/>
    <tableColumn id="3" xr3:uid="{D14B54F3-6095-4809-ACDD-B6CC2E4EF256}" name="DATUM" dataDxfId="31"/>
    <tableColumn id="4" xr3:uid="{AFCBA1F5-7ED9-4F80-AFC7-1097245E4221}" name="PRUEFER"/>
    <tableColumn id="5" xr3:uid="{A8F5E4B0-2857-4924-8516-E41867E428DC}" name="BEREICH"/>
    <tableColumn id="6" xr3:uid="{EFC886FB-D4E1-4D90-BE94-B759F1198FB9}" name="ANSPRECHPARTNER"/>
    <tableColumn id="7" xr3:uid="{72FC2D53-C857-44C2-8E65-968894FE95E2}" name="KOORDINATEN"/>
    <tableColumn id="8" xr3:uid="{AB0FD246-D5E3-4C82-B3E3-636CDE8A8D37}" name="ORT" dataDxfId="30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04F822-FCA3-4EC4-9533-8178FB26AFC3}" name="Haufwerk.Sample.Table" displayName="Haufwerk.Sample.Table" ref="A1:R8" totalsRowShown="0" headerRowDxfId="29">
  <autoFilter ref="A1:R8" xr:uid="{4B04F822-FCA3-4EC4-9533-8178FB26AFC3}"/>
  <tableColumns count="18">
    <tableColumn id="1" xr3:uid="{1C03AB31-B2D9-46CB-9DD4-8ABB4FBBF85D}" name="ID">
      <calculatedColumnFormula>"SH"&amp;ROW()-1</calculatedColumnFormula>
    </tableColumn>
    <tableColumn id="2" xr3:uid="{27DC18A4-2ADD-405E-9311-C04C0BD82A2D}" name="PROBE.ID"/>
    <tableColumn id="3" xr3:uid="{312C73CC-979A-4483-A0A8-83428A4FE885}" name="CHEMISTRY.ID"/>
    <tableColumn id="16" xr3:uid="{EDF1FA89-4559-432D-B1F5-B7250AE44220}" name="TYPE">
      <calculatedColumnFormula>"PIECE"</calculatedColumnFormula>
    </tableColumn>
    <tableColumn id="4" xr3:uid="{3ED91F37-4267-4EA4-B393-9999AECBCBFD}" name="NUMMER"/>
    <tableColumn id="5" xr3:uid="{A4B66729-75F7-4E3C-A914-B3EFB36EE008}" name="AUFSCHLUSS" dataDxfId="28">
      <calculatedColumnFormula>"HAUFWERK"</calculatedColumnFormula>
    </tableColumn>
    <tableColumn id="6" xr3:uid="{1586FA36-B4DE-4684-9D6E-C35C26DEC2A1}" name="ART"/>
    <tableColumn id="20" xr3:uid="{E39EAB2A-0B3D-4A23-B43E-208E3AAE3017}" name="KOERNUNG" dataDxfId="27"/>
    <tableColumn id="7" xr3:uid="{A14620EF-6D87-41CD-B8D4-595661C8230F}" name="ABFALLART"/>
    <tableColumn id="8" xr3:uid="{69FF4125-21BA-4CBD-9954-E215037CB7AD}" name="VOLUMEN"/>
    <tableColumn id="9" xr3:uid="{7E912052-6687-4171-AC83-DAECF0043AD8}" name="PROBEN" dataDxfId="26">
      <calculatedColumnFormula array="1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calculatedColumnFormula>
    </tableColumn>
    <tableColumn id="10" xr3:uid="{43E17521-538A-4151-9133-288F54B08474}" name="BEHAELTNIS"/>
    <tableColumn id="11" xr3:uid="{F3615C03-AAC3-454B-9820-1DE785D3C6C5}" name="FARBE"/>
    <tableColumn id="12" xr3:uid="{D172E82F-D043-4F90-A716-D35755CED4EE}" name="GERUCH"/>
    <tableColumn id="14" xr3:uid="{B8EE0E66-CA09-4080-B53D-B247FE4C5805}" name="BODENKLASSE" dataDxfId="25"/>
    <tableColumn id="15" xr3:uid="{7E279583-C1A2-4453-94A9-383ED44D3C12}" name="PECH"/>
    <tableColumn id="18" xr3:uid="{591F0959-1D63-4947-BBBB-4738500939CF}" name="BODENART"/>
    <tableColumn id="19" xr3:uid="{EBECC27F-66AC-4EEC-8EEC-D107D8CB22BC}" name="NOTIZ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D31A9-0098-428A-BD52-FB14AEB31A8E}" name="Gebaeude.Table" displayName="Gebaeude.Table" ref="A1:L12" totalsRowShown="0" headerRowDxfId="24">
  <autoFilter ref="A1:L12" xr:uid="{783D31A9-0098-428A-BD52-FB14AEB31A8E}"/>
  <tableColumns count="12">
    <tableColumn id="1" xr3:uid="{DFC95AB4-C2C4-4331-914E-D0BA5DE00A0A}" name="ID"/>
    <tableColumn id="12" xr3:uid="{FE9265EA-15AC-41E0-9077-CF0A8D518D4A}" name="TYPE" dataDxfId="23">
      <calculatedColumnFormula>"BUILDING"</calculatedColumnFormula>
    </tableColumn>
    <tableColumn id="2" xr3:uid="{3EEAA087-E8CD-44B3-8DF7-FA0EE5A08610}" name="NUMMER"/>
    <tableColumn id="3" xr3:uid="{A368117F-57A6-414D-A93E-3A6BD44DE902}" name="DATUM" dataDxfId="22"/>
    <tableColumn id="4" xr3:uid="{89A03C32-A8DF-45C6-A873-2F050ECE505E}" name="BAUTEIL"/>
    <tableColumn id="5" xr3:uid="{34760493-5B96-4031-ABE8-60A994DC1306}" name="PROBENCHARAKTER"/>
    <tableColumn id="6" xr3:uid="{E249EC8E-C551-485F-88B0-4BF445D506C2}" name="GERUCH"/>
    <tableColumn id="7" xr3:uid="{4FEF5B7C-EB9F-451F-A024-9F0C2E7E85E1}" name="PROBENNUMMER"/>
    <tableColumn id="8" xr3:uid="{1243F9B4-EA61-49B6-A7F8-99DA51BE8E9C}" name="GEBAEUDE"/>
    <tableColumn id="9" xr3:uid="{67ADEC80-C50F-4089-BF03-566EE49F5E7A}" name="ETAGE"/>
    <tableColumn id="10" xr3:uid="{C7133D7F-93F0-4BCD-B869-86727BCB66F9}" name="RAUM"/>
    <tableColumn id="11" xr3:uid="{78D2F165-EA0F-4A68-A0AC-2DB86211B356}" name="ENTNAHME"/>
  </tableColumns>
  <tableStyleInfo name="TableStyleMedium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30A37C-629E-4550-A01C-455CDD4A615A}" name="Gebaeude.Sample.Table" displayName="Gebaeude.Sample.Table" ref="A1:P32" totalsRowShown="0" headerRowDxfId="21" headerRowBorderDxfId="20" tableBorderDxfId="19">
  <autoFilter ref="A1:P32" xr:uid="{3730A37C-629E-4550-A01C-455CDD4A615A}"/>
  <tableColumns count="16">
    <tableColumn id="16" xr3:uid="{54D7B85E-0AC3-4C06-8F98-2D052592AE14}" name="ID" dataDxfId="18">
      <calculatedColumnFormula>"SB"&amp;ROW()-1</calculatedColumnFormula>
    </tableColumn>
    <tableColumn id="1" xr3:uid="{B6CFCABB-7B4C-4788-B0D9-F645AF05737F}" name="PROBE.ID" dataDxfId="17"/>
    <tableColumn id="2" xr3:uid="{FA6E3FC5-57B0-4801-A809-FBC07D2EA348}" name="CHEMISTRY.ID" dataDxfId="16"/>
    <tableColumn id="3" xr3:uid="{E0088270-41AD-4E9D-9395-8EEAD6B46818}" name="TYPE" dataDxfId="15">
      <calculatedColumnFormula>"LAYER"</calculatedColumnFormula>
    </tableColumn>
    <tableColumn id="4" xr3:uid="{E42478A1-49FD-48AB-BAA7-1896B69635A5}" name="NUMMER" dataDxfId="14"/>
    <tableColumn id="5" xr3:uid="{63C7892F-F854-491A-96AB-FE7C93927D92}" name="AUFSCHLUSS" dataDxfId="13">
      <calculatedColumnFormula>"GEBAEUDE"</calculatedColumnFormula>
    </tableColumn>
    <tableColumn id="6" xr3:uid="{AD71487E-188D-421D-ABC6-648B4C312B1E}" name="MATERIAL" dataDxfId="12"/>
    <tableColumn id="7" xr3:uid="{87AA8CA9-F85E-4C63-9282-8F783ACCAB3D}" name="FARBE" dataDxfId="11"/>
    <tableColumn id="8" xr3:uid="{7806AECF-E2BB-4753-BA86-0A4EC06B9DD6}" name="DICKE" dataDxfId="10"/>
    <tableColumn id="9" xr3:uid="{0BBF5BF4-1261-4A80-AE47-44EA076F8B64}" name="TIEFE_START" dataDxfId="9">
      <calculatedColumnFormula>Gebaeude.Sample.Table[[#This Row],[TIEFE_ENDE]]-Gebaeude.Sample.Table[[#This Row],[DICKE]]</calculatedColumnFormula>
    </tableColumn>
    <tableColumn id="10" xr3:uid="{5CBF7A6E-AC07-4534-A77E-5433494D3ACF}" name="TIEFE_ENDE" dataDxfId="8">
      <calculatedColumnFormula array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calculatedColumnFormula>
    </tableColumn>
    <tableColumn id="11" xr3:uid="{489A901E-49E7-4AE4-BF93-59306426EE2A}" name="ENTNAHME" dataDxfId="7"/>
    <tableColumn id="12" xr3:uid="{8786C879-9DF0-4DCE-8456-F5C438480E7D}" name="MATERIAL_VERGLEICH" dataDxfId="6"/>
    <tableColumn id="13" xr3:uid="{DF245829-1BB6-4FD3-A91C-F045A5969E9E}" name="SCHADSTOFFVERDACHT" dataDxfId="5"/>
    <tableColumn id="14" xr3:uid="{64FB9452-3366-4D6B-87ED-49F442A6A4B5}" name="ABFALLSCHLUESSEL_MATERIAL" dataDxfId="4"/>
    <tableColumn id="15" xr3:uid="{BDE638E0-0759-42EA-AC6A-42F7513E4590}" name="ABFALLSCHLUESSEL_GEMISCH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F34E-411F-48FB-B979-73B4F35FEE06}">
  <sheetPr>
    <tabColor theme="1"/>
  </sheetPr>
  <dimension ref="A1:DX90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11.5703125" bestFit="1" customWidth="1"/>
    <col min="2" max="2" width="14" bestFit="1" customWidth="1"/>
    <col min="3" max="3" width="18.5703125" bestFit="1" customWidth="1"/>
    <col min="4" max="4" width="16.5703125" style="33" bestFit="1" customWidth="1"/>
    <col min="5" max="5" width="17.5703125" bestFit="1" customWidth="1"/>
    <col min="6" max="6" width="17" bestFit="1" customWidth="1"/>
    <col min="7" max="7" width="27.5703125" bestFit="1" customWidth="1"/>
    <col min="8" max="8" width="23" bestFit="1" customWidth="1"/>
    <col min="9" max="9" width="51.7109375" bestFit="1" customWidth="1"/>
    <col min="10" max="10" width="25" bestFit="1" customWidth="1"/>
    <col min="11" max="11" width="26" bestFit="1" customWidth="1"/>
    <col min="12" max="12" width="32.5703125" bestFit="1" customWidth="1"/>
    <col min="13" max="13" width="20.42578125" bestFit="1" customWidth="1"/>
    <col min="14" max="14" width="27.85546875" bestFit="1" customWidth="1"/>
    <col min="15" max="15" width="34.28515625" bestFit="1" customWidth="1"/>
    <col min="16" max="16" width="26.28515625" bestFit="1" customWidth="1"/>
    <col min="17" max="17" width="32.5703125" bestFit="1" customWidth="1"/>
    <col min="18" max="18" width="27.85546875" bestFit="1" customWidth="1"/>
    <col min="19" max="19" width="23.85546875" bestFit="1" customWidth="1"/>
    <col min="20" max="20" width="29" bestFit="1" customWidth="1"/>
    <col min="21" max="21" width="21" bestFit="1" customWidth="1"/>
    <col min="22" max="22" width="30.42578125" bestFit="1" customWidth="1"/>
    <col min="23" max="23" width="17.7109375" bestFit="1" customWidth="1"/>
    <col min="24" max="27" width="81.140625" bestFit="1" customWidth="1"/>
    <col min="28" max="28" width="45.28515625" bestFit="1" customWidth="1"/>
    <col min="29" max="29" width="41.42578125" bestFit="1" customWidth="1"/>
    <col min="30" max="30" width="44.85546875" bestFit="1" customWidth="1"/>
    <col min="31" max="31" width="64" bestFit="1" customWidth="1"/>
    <col min="32" max="32" width="69.140625" bestFit="1" customWidth="1"/>
    <col min="33" max="33" width="31.5703125" bestFit="1" customWidth="1"/>
    <col min="34" max="34" width="12.85546875" bestFit="1" customWidth="1"/>
    <col min="35" max="35" width="19.42578125" bestFit="1" customWidth="1"/>
    <col min="36" max="36" width="23.85546875" bestFit="1" customWidth="1"/>
    <col min="37" max="37" width="17.140625" bestFit="1" customWidth="1"/>
    <col min="38" max="38" width="15.42578125" bestFit="1" customWidth="1"/>
    <col min="39" max="39" width="15.28515625" bestFit="1" customWidth="1"/>
    <col min="40" max="40" width="19.85546875" bestFit="1" customWidth="1"/>
    <col min="41" max="41" width="19.140625" bestFit="1" customWidth="1"/>
    <col min="42" max="42" width="22.5703125" bestFit="1" customWidth="1"/>
    <col min="43" max="43" width="20" bestFit="1" customWidth="1"/>
    <col min="44" max="44" width="21.5703125" bestFit="1" customWidth="1"/>
    <col min="45" max="45" width="23.85546875" bestFit="1" customWidth="1"/>
    <col min="46" max="46" width="16.140625" bestFit="1" customWidth="1"/>
    <col min="47" max="47" width="22.140625" bestFit="1" customWidth="1"/>
    <col min="48" max="48" width="21.42578125" bestFit="1" customWidth="1"/>
    <col min="49" max="49" width="15.5703125" bestFit="1" customWidth="1"/>
    <col min="50" max="50" width="40.140625" bestFit="1" customWidth="1"/>
    <col min="51" max="51" width="21" bestFit="1" customWidth="1"/>
    <col min="52" max="52" width="20.85546875" bestFit="1" customWidth="1"/>
    <col min="53" max="53" width="22.140625" bestFit="1" customWidth="1"/>
    <col min="54" max="54" width="23.85546875" bestFit="1" customWidth="1"/>
    <col min="55" max="55" width="25.5703125" bestFit="1" customWidth="1"/>
    <col min="56" max="56" width="27.140625" bestFit="1" customWidth="1"/>
    <col min="57" max="57" width="16.42578125" bestFit="1" customWidth="1"/>
    <col min="58" max="58" width="21.7109375" bestFit="1" customWidth="1"/>
    <col min="59" max="59" width="21" bestFit="1" customWidth="1"/>
    <col min="60" max="60" width="18.5703125" bestFit="1" customWidth="1"/>
    <col min="61" max="61" width="37.28515625" bestFit="1" customWidth="1"/>
    <col min="62" max="62" width="27.140625" bestFit="1" customWidth="1"/>
    <col min="63" max="63" width="40.42578125" bestFit="1" customWidth="1"/>
    <col min="64" max="64" width="35.85546875" bestFit="1" customWidth="1"/>
    <col min="65" max="65" width="28.42578125" bestFit="1" customWidth="1"/>
    <col min="66" max="66" width="19.28515625" bestFit="1" customWidth="1"/>
    <col min="67" max="67" width="26.28515625" bestFit="1" customWidth="1"/>
    <col min="68" max="69" width="24.7109375" bestFit="1" customWidth="1"/>
    <col min="70" max="70" width="24.7109375" style="5" bestFit="1" customWidth="1"/>
    <col min="71" max="71" width="29.140625" style="5" bestFit="1" customWidth="1"/>
    <col min="72" max="72" width="19.7109375" bestFit="1" customWidth="1"/>
    <col min="73" max="73" width="21.7109375" bestFit="1" customWidth="1"/>
    <col min="74" max="74" width="20.7109375" bestFit="1" customWidth="1"/>
    <col min="75" max="75" width="26" bestFit="1" customWidth="1"/>
    <col min="76" max="76" width="21" style="3" bestFit="1" customWidth="1"/>
    <col min="77" max="77" width="28" bestFit="1" customWidth="1"/>
    <col min="78" max="78" width="30.140625" bestFit="1" customWidth="1"/>
    <col min="79" max="79" width="24.42578125" bestFit="1" customWidth="1"/>
    <col min="80" max="80" width="27.5703125" bestFit="1" customWidth="1"/>
    <col min="81" max="81" width="31.42578125" bestFit="1" customWidth="1"/>
    <col min="82" max="82" width="43.5703125" bestFit="1" customWidth="1"/>
    <col min="83" max="83" width="33.140625" bestFit="1" customWidth="1"/>
    <col min="84" max="84" width="32.28515625" bestFit="1" customWidth="1"/>
    <col min="85" max="85" width="29.85546875" bestFit="1" customWidth="1"/>
    <col min="86" max="86" width="29.42578125" bestFit="1" customWidth="1"/>
    <col min="87" max="87" width="29.28515625" bestFit="1" customWidth="1"/>
    <col min="88" max="88" width="30.140625" bestFit="1" customWidth="1"/>
    <col min="89" max="89" width="29.42578125" bestFit="1" customWidth="1"/>
    <col min="90" max="90" width="34.140625" bestFit="1" customWidth="1"/>
    <col min="91" max="91" width="40.140625" bestFit="1" customWidth="1"/>
    <col min="92" max="93" width="39.42578125" bestFit="1" customWidth="1"/>
    <col min="94" max="94" width="32.42578125" bestFit="1" customWidth="1"/>
    <col min="95" max="95" width="48" bestFit="1" customWidth="1"/>
    <col min="96" max="96" width="31.140625" bestFit="1" customWidth="1"/>
    <col min="97" max="97" width="30.7109375" bestFit="1" customWidth="1"/>
    <col min="98" max="98" width="34.42578125" bestFit="1" customWidth="1"/>
    <col min="99" max="99" width="34.140625" bestFit="1" customWidth="1"/>
    <col min="100" max="100" width="55.42578125" bestFit="1" customWidth="1"/>
    <col min="101" max="101" width="36.7109375" bestFit="1" customWidth="1"/>
    <col min="102" max="102" width="41.28515625" bestFit="1" customWidth="1"/>
    <col min="103" max="103" width="52.7109375" bestFit="1" customWidth="1"/>
    <col min="104" max="104" width="36.28515625" bestFit="1" customWidth="1"/>
    <col min="105" max="105" width="30.5703125" bestFit="1" customWidth="1"/>
    <col min="106" max="106" width="46" bestFit="1" customWidth="1"/>
    <col min="107" max="107" width="30.5703125" bestFit="1" customWidth="1"/>
    <col min="108" max="108" width="31" bestFit="1" customWidth="1"/>
    <col min="109" max="109" width="43.140625" bestFit="1" customWidth="1"/>
    <col min="110" max="110" width="28.7109375" bestFit="1" customWidth="1"/>
    <col min="111" max="111" width="20.42578125" bestFit="1" customWidth="1"/>
    <col min="112" max="112" width="18.42578125" bestFit="1" customWidth="1"/>
    <col min="113" max="113" width="17" bestFit="1" customWidth="1"/>
    <col min="114" max="114" width="27.7109375" bestFit="1" customWidth="1"/>
    <col min="115" max="115" width="24.140625" bestFit="1" customWidth="1"/>
    <col min="116" max="116" width="26" bestFit="1" customWidth="1"/>
    <col min="117" max="117" width="19.42578125" bestFit="1" customWidth="1"/>
    <col min="118" max="119" width="15.42578125" bestFit="1" customWidth="1"/>
    <col min="120" max="121" width="20.140625" bestFit="1" customWidth="1"/>
    <col min="122" max="122" width="21.42578125" bestFit="1" customWidth="1"/>
    <col min="123" max="123" width="31.140625" bestFit="1" customWidth="1"/>
    <col min="124" max="124" width="32.28515625" bestFit="1" customWidth="1"/>
    <col min="125" max="125" width="38.5703125" bestFit="1" customWidth="1"/>
    <col min="126" max="126" width="8.28515625" hidden="1" customWidth="1"/>
    <col min="127" max="128" width="17.7109375" hidden="1" customWidth="1"/>
    <col min="129" max="129" width="30.140625" bestFit="1" customWidth="1"/>
    <col min="130" max="130" width="37.85546875" customWidth="1"/>
    <col min="131" max="131" width="38.140625" customWidth="1"/>
  </cols>
  <sheetData>
    <row r="1" spans="1:128" x14ac:dyDescent="0.25">
      <c r="A1" t="s">
        <v>15</v>
      </c>
      <c r="B1" t="s">
        <v>476</v>
      </c>
      <c r="C1" t="s">
        <v>16</v>
      </c>
      <c r="D1" s="33" t="s">
        <v>17</v>
      </c>
      <c r="E1" t="s">
        <v>18</v>
      </c>
      <c r="F1" t="s">
        <v>19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328</v>
      </c>
      <c r="Y1" t="s">
        <v>329</v>
      </c>
      <c r="Z1" t="s">
        <v>330</v>
      </c>
      <c r="AA1" t="s">
        <v>331</v>
      </c>
      <c r="AB1" t="s">
        <v>332</v>
      </c>
      <c r="AC1" t="s">
        <v>333</v>
      </c>
      <c r="AD1" t="s">
        <v>334</v>
      </c>
      <c r="AE1" t="s">
        <v>335</v>
      </c>
      <c r="AF1" t="s">
        <v>336</v>
      </c>
      <c r="AG1" t="s">
        <v>337</v>
      </c>
      <c r="AH1" t="s">
        <v>22</v>
      </c>
      <c r="AI1" t="s">
        <v>23</v>
      </c>
      <c r="AJ1" t="s">
        <v>24</v>
      </c>
      <c r="AK1" t="s">
        <v>27</v>
      </c>
      <c r="AL1" t="s">
        <v>471</v>
      </c>
      <c r="AM1" t="s">
        <v>477</v>
      </c>
      <c r="AN1" t="s">
        <v>124</v>
      </c>
      <c r="AO1" t="s">
        <v>877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  <c r="AU1" t="s">
        <v>130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136</v>
      </c>
      <c r="BB1" t="s">
        <v>137</v>
      </c>
      <c r="BC1" t="s">
        <v>138</v>
      </c>
      <c r="BD1" t="s">
        <v>139</v>
      </c>
      <c r="BE1" t="s">
        <v>140</v>
      </c>
      <c r="BF1" t="s">
        <v>141</v>
      </c>
      <c r="BG1" t="s">
        <v>142</v>
      </c>
      <c r="BH1" t="s">
        <v>143</v>
      </c>
      <c r="BI1" t="s">
        <v>144</v>
      </c>
      <c r="BJ1" t="s">
        <v>145</v>
      </c>
      <c r="BK1" t="s">
        <v>146</v>
      </c>
      <c r="BL1" t="s">
        <v>147</v>
      </c>
      <c r="BM1" t="s">
        <v>148</v>
      </c>
      <c r="BN1" t="s">
        <v>29</v>
      </c>
      <c r="BO1" t="s">
        <v>167</v>
      </c>
      <c r="BP1" t="s">
        <v>168</v>
      </c>
      <c r="BQ1" t="s">
        <v>169</v>
      </c>
      <c r="BR1" t="s">
        <v>170</v>
      </c>
      <c r="BS1" t="s">
        <v>171</v>
      </c>
      <c r="BT1" t="s">
        <v>310</v>
      </c>
      <c r="BU1" s="5" t="s">
        <v>311</v>
      </c>
      <c r="BV1" s="5" t="s">
        <v>312</v>
      </c>
      <c r="BW1" t="s">
        <v>313</v>
      </c>
      <c r="BX1" t="s">
        <v>30</v>
      </c>
      <c r="BY1" t="s">
        <v>172</v>
      </c>
      <c r="BZ1" t="s">
        <v>173</v>
      </c>
      <c r="CA1" s="3" t="s">
        <v>174</v>
      </c>
      <c r="CB1" t="s">
        <v>28</v>
      </c>
      <c r="CC1" t="s">
        <v>155</v>
      </c>
      <c r="CD1" t="s">
        <v>156</v>
      </c>
      <c r="CE1" t="s">
        <v>772</v>
      </c>
      <c r="CF1" t="s">
        <v>164</v>
      </c>
      <c r="CG1" t="s">
        <v>183</v>
      </c>
      <c r="CH1" t="s">
        <v>184</v>
      </c>
      <c r="CI1" t="s">
        <v>165</v>
      </c>
      <c r="CJ1" t="s">
        <v>166</v>
      </c>
      <c r="CK1" t="s">
        <v>180</v>
      </c>
      <c r="CL1" t="s">
        <v>339</v>
      </c>
      <c r="CM1" t="s">
        <v>181</v>
      </c>
      <c r="CN1" t="s">
        <v>444</v>
      </c>
      <c r="CO1" t="s">
        <v>445</v>
      </c>
      <c r="CP1" t="s">
        <v>182</v>
      </c>
      <c r="CQ1" t="s">
        <v>185</v>
      </c>
      <c r="CR1" t="s">
        <v>440</v>
      </c>
      <c r="CS1" t="s">
        <v>441</v>
      </c>
      <c r="CT1" t="s">
        <v>158</v>
      </c>
      <c r="CU1" t="s">
        <v>159</v>
      </c>
      <c r="CV1" t="s">
        <v>338</v>
      </c>
      <c r="CW1" t="s">
        <v>747</v>
      </c>
      <c r="CX1" t="s">
        <v>748</v>
      </c>
      <c r="CY1" t="s">
        <v>749</v>
      </c>
      <c r="CZ1" t="s">
        <v>160</v>
      </c>
      <c r="DA1" t="s">
        <v>161</v>
      </c>
      <c r="DB1" t="s">
        <v>162</v>
      </c>
      <c r="DC1" t="s">
        <v>163</v>
      </c>
      <c r="DD1" t="s">
        <v>356</v>
      </c>
      <c r="DE1" t="s">
        <v>470</v>
      </c>
      <c r="DF1" t="s">
        <v>157</v>
      </c>
      <c r="DG1" t="s">
        <v>150</v>
      </c>
      <c r="DH1" t="s">
        <v>151</v>
      </c>
      <c r="DI1" t="s">
        <v>20</v>
      </c>
      <c r="DJ1" t="s">
        <v>71</v>
      </c>
      <c r="DK1" t="s">
        <v>72</v>
      </c>
      <c r="DL1" t="s">
        <v>73</v>
      </c>
      <c r="DM1" t="s">
        <v>309</v>
      </c>
      <c r="DN1" t="s">
        <v>74</v>
      </c>
      <c r="DO1" t="s">
        <v>75</v>
      </c>
      <c r="DP1" t="s">
        <v>76</v>
      </c>
      <c r="DQ1" t="s">
        <v>149</v>
      </c>
      <c r="DR1" t="s">
        <v>152</v>
      </c>
      <c r="DS1" t="s">
        <v>439</v>
      </c>
      <c r="DT1" t="s">
        <v>153</v>
      </c>
      <c r="DU1" t="s">
        <v>154</v>
      </c>
      <c r="DV1" t="s">
        <v>306</v>
      </c>
      <c r="DW1" t="s">
        <v>789</v>
      </c>
      <c r="DX1" t="s">
        <v>790</v>
      </c>
    </row>
    <row r="2" spans="1:128" x14ac:dyDescent="0.25">
      <c r="A2" t="s">
        <v>520</v>
      </c>
      <c r="B2" t="s">
        <v>479</v>
      </c>
      <c r="C2">
        <v>0</v>
      </c>
      <c r="D2"/>
      <c r="AH2" t="s">
        <v>689</v>
      </c>
      <c r="AI2" t="s">
        <v>520</v>
      </c>
      <c r="AJ2" t="s">
        <v>347</v>
      </c>
      <c r="AM2" t="s">
        <v>475</v>
      </c>
      <c r="AN2">
        <v>1</v>
      </c>
      <c r="AO2" t="s">
        <v>791</v>
      </c>
      <c r="AP2" t="s">
        <v>192</v>
      </c>
      <c r="AQ2">
        <v>1</v>
      </c>
      <c r="AT2">
        <v>1</v>
      </c>
      <c r="AU2">
        <v>0</v>
      </c>
      <c r="AV2">
        <v>1</v>
      </c>
      <c r="AW2" t="s">
        <v>222</v>
      </c>
      <c r="BG2">
        <v>1</v>
      </c>
      <c r="BH2" t="s">
        <v>408</v>
      </c>
      <c r="BR2"/>
      <c r="BS2"/>
      <c r="BU2" s="5"/>
      <c r="BV2" s="5"/>
      <c r="BX2"/>
      <c r="CA2" s="3"/>
      <c r="CB2" t="s">
        <v>347</v>
      </c>
      <c r="CC2" t="s">
        <v>6</v>
      </c>
      <c r="DW2">
        <v>1</v>
      </c>
      <c r="DX2">
        <v>1</v>
      </c>
    </row>
    <row r="3" spans="1:128" x14ac:dyDescent="0.25">
      <c r="A3" t="s">
        <v>520</v>
      </c>
      <c r="B3" t="s">
        <v>479</v>
      </c>
      <c r="C3">
        <v>0</v>
      </c>
      <c r="D3"/>
      <c r="AH3" t="s">
        <v>690</v>
      </c>
      <c r="AI3" t="s">
        <v>520</v>
      </c>
      <c r="AJ3" t="s">
        <v>347</v>
      </c>
      <c r="AL3" t="s">
        <v>546</v>
      </c>
      <c r="AM3" t="s">
        <v>475</v>
      </c>
      <c r="AN3">
        <v>2</v>
      </c>
      <c r="AO3" t="s">
        <v>792</v>
      </c>
      <c r="AP3" t="s">
        <v>233</v>
      </c>
      <c r="AQ3">
        <v>2</v>
      </c>
      <c r="AT3">
        <v>2</v>
      </c>
      <c r="AU3">
        <v>1</v>
      </c>
      <c r="AV3">
        <v>3</v>
      </c>
      <c r="BG3">
        <v>2</v>
      </c>
      <c r="BH3" t="s">
        <v>308</v>
      </c>
      <c r="BN3" t="s">
        <v>546</v>
      </c>
      <c r="BO3">
        <v>4</v>
      </c>
      <c r="BP3">
        <v>3</v>
      </c>
      <c r="BQ3">
        <v>2</v>
      </c>
      <c r="BR3">
        <v>1</v>
      </c>
      <c r="BS3">
        <v>2</v>
      </c>
      <c r="BT3">
        <v>11.3</v>
      </c>
      <c r="BU3" s="5">
        <v>10</v>
      </c>
      <c r="BV3" s="5" t="s">
        <v>691</v>
      </c>
      <c r="BW3">
        <v>120</v>
      </c>
      <c r="BX3"/>
      <c r="CA3" s="3"/>
      <c r="CB3" t="s">
        <v>347</v>
      </c>
      <c r="CC3" t="s">
        <v>6</v>
      </c>
      <c r="DW3">
        <v>2</v>
      </c>
      <c r="DX3">
        <v>2</v>
      </c>
    </row>
    <row r="4" spans="1:128" x14ac:dyDescent="0.25">
      <c r="A4" t="s">
        <v>520</v>
      </c>
      <c r="B4" t="s">
        <v>479</v>
      </c>
      <c r="C4">
        <v>0</v>
      </c>
      <c r="D4"/>
      <c r="AH4" t="s">
        <v>688</v>
      </c>
      <c r="AI4" t="s">
        <v>520</v>
      </c>
      <c r="AJ4" t="s">
        <v>347</v>
      </c>
      <c r="AK4" t="s">
        <v>740</v>
      </c>
      <c r="AM4" t="s">
        <v>475</v>
      </c>
      <c r="AN4">
        <v>3</v>
      </c>
      <c r="AO4" t="s">
        <v>793</v>
      </c>
      <c r="AP4" t="s">
        <v>251</v>
      </c>
      <c r="AQ4">
        <v>3</v>
      </c>
      <c r="AT4">
        <v>3</v>
      </c>
      <c r="AU4">
        <v>3</v>
      </c>
      <c r="AV4">
        <v>6</v>
      </c>
      <c r="BG4" t="s">
        <v>570</v>
      </c>
      <c r="BH4" t="s">
        <v>308</v>
      </c>
      <c r="BR4"/>
      <c r="BS4"/>
      <c r="BU4" s="5"/>
      <c r="BV4" s="5"/>
      <c r="BX4" t="s">
        <v>740</v>
      </c>
      <c r="BY4">
        <v>5</v>
      </c>
      <c r="BZ4" t="s">
        <v>314</v>
      </c>
      <c r="CA4" s="3">
        <v>21</v>
      </c>
      <c r="CB4" t="s">
        <v>347</v>
      </c>
      <c r="CC4" t="s">
        <v>6</v>
      </c>
      <c r="DW4">
        <v>3</v>
      </c>
      <c r="DX4">
        <v>3</v>
      </c>
    </row>
    <row r="5" spans="1:128" x14ac:dyDescent="0.25">
      <c r="A5" t="s">
        <v>520</v>
      </c>
      <c r="B5" t="s">
        <v>479</v>
      </c>
      <c r="C5">
        <v>0</v>
      </c>
      <c r="D5"/>
      <c r="AH5" t="s">
        <v>686</v>
      </c>
      <c r="AI5" t="s">
        <v>520</v>
      </c>
      <c r="AJ5" t="s">
        <v>347</v>
      </c>
      <c r="AM5" t="s">
        <v>475</v>
      </c>
      <c r="AN5">
        <v>4</v>
      </c>
      <c r="AO5" t="s">
        <v>794</v>
      </c>
      <c r="AP5" t="s">
        <v>264</v>
      </c>
      <c r="AQ5">
        <v>4</v>
      </c>
      <c r="AT5">
        <v>4</v>
      </c>
      <c r="AU5">
        <v>6</v>
      </c>
      <c r="AV5">
        <v>10</v>
      </c>
      <c r="BG5">
        <v>4</v>
      </c>
      <c r="BH5" t="s">
        <v>308</v>
      </c>
      <c r="BR5"/>
      <c r="BS5"/>
      <c r="BU5" s="5"/>
      <c r="BV5" s="5"/>
      <c r="BX5"/>
      <c r="CA5" s="3"/>
      <c r="CB5" t="s">
        <v>347</v>
      </c>
      <c r="CC5" t="s">
        <v>6</v>
      </c>
      <c r="DW5">
        <v>4</v>
      </c>
      <c r="DX5">
        <v>4</v>
      </c>
    </row>
    <row r="6" spans="1:128" x14ac:dyDescent="0.25">
      <c r="A6" t="s">
        <v>520</v>
      </c>
      <c r="B6" t="s">
        <v>479</v>
      </c>
      <c r="C6">
        <v>0</v>
      </c>
      <c r="D6"/>
      <c r="AH6" t="s">
        <v>687</v>
      </c>
      <c r="AI6" t="s">
        <v>520</v>
      </c>
      <c r="AJ6" t="s">
        <v>347</v>
      </c>
      <c r="AM6" t="s">
        <v>475</v>
      </c>
      <c r="AN6">
        <v>5</v>
      </c>
      <c r="AO6" t="s">
        <v>795</v>
      </c>
      <c r="AP6" t="s">
        <v>275</v>
      </c>
      <c r="AQ6">
        <v>5</v>
      </c>
      <c r="AT6">
        <v>5</v>
      </c>
      <c r="AU6">
        <v>10</v>
      </c>
      <c r="AV6">
        <v>15</v>
      </c>
      <c r="AW6" t="s">
        <v>222</v>
      </c>
      <c r="BG6">
        <v>5</v>
      </c>
      <c r="BH6" t="s">
        <v>408</v>
      </c>
      <c r="BR6"/>
      <c r="BS6"/>
      <c r="BU6" s="5"/>
      <c r="BV6" s="5"/>
      <c r="BX6"/>
      <c r="CA6" s="3"/>
      <c r="CB6" t="s">
        <v>347</v>
      </c>
      <c r="CC6" t="s">
        <v>6</v>
      </c>
      <c r="DW6">
        <v>5</v>
      </c>
      <c r="DX6">
        <v>5</v>
      </c>
    </row>
    <row r="7" spans="1:128" x14ac:dyDescent="0.25">
      <c r="A7" t="s">
        <v>520</v>
      </c>
      <c r="B7" t="s">
        <v>479</v>
      </c>
      <c r="C7">
        <v>0</v>
      </c>
      <c r="D7"/>
      <c r="AH7" t="s">
        <v>682</v>
      </c>
      <c r="AI7" t="s">
        <v>520</v>
      </c>
      <c r="AJ7" t="s">
        <v>347</v>
      </c>
      <c r="AM7" t="s">
        <v>475</v>
      </c>
      <c r="AN7">
        <v>6</v>
      </c>
      <c r="AO7" t="s">
        <v>796</v>
      </c>
      <c r="AP7" t="s">
        <v>283</v>
      </c>
      <c r="AQ7">
        <v>6</v>
      </c>
      <c r="AT7">
        <v>6</v>
      </c>
      <c r="AU7">
        <v>15</v>
      </c>
      <c r="AV7">
        <v>21</v>
      </c>
      <c r="AW7" t="s">
        <v>222</v>
      </c>
      <c r="BG7">
        <v>6</v>
      </c>
      <c r="BH7" t="s">
        <v>408</v>
      </c>
      <c r="BR7"/>
      <c r="BS7"/>
      <c r="BU7" s="5"/>
      <c r="BV7" s="5"/>
      <c r="BX7"/>
      <c r="CA7" s="3"/>
      <c r="CB7" t="s">
        <v>347</v>
      </c>
      <c r="CC7" t="s">
        <v>6</v>
      </c>
      <c r="DW7">
        <v>6</v>
      </c>
      <c r="DX7">
        <v>6</v>
      </c>
    </row>
    <row r="8" spans="1:128" x14ac:dyDescent="0.25">
      <c r="A8" t="s">
        <v>520</v>
      </c>
      <c r="B8" t="s">
        <v>479</v>
      </c>
      <c r="C8">
        <v>0</v>
      </c>
      <c r="D8"/>
      <c r="AH8" t="s">
        <v>681</v>
      </c>
      <c r="AI8" t="s">
        <v>520</v>
      </c>
      <c r="AJ8" t="s">
        <v>347</v>
      </c>
      <c r="AM8" t="s">
        <v>475</v>
      </c>
      <c r="AN8">
        <v>7</v>
      </c>
      <c r="AO8" t="s">
        <v>797</v>
      </c>
      <c r="AP8" t="s">
        <v>289</v>
      </c>
      <c r="AQ8">
        <v>7</v>
      </c>
      <c r="AT8">
        <v>7</v>
      </c>
      <c r="AU8">
        <v>21</v>
      </c>
      <c r="AV8">
        <v>28</v>
      </c>
      <c r="AW8" t="s">
        <v>222</v>
      </c>
      <c r="BG8">
        <v>7</v>
      </c>
      <c r="BH8" t="s">
        <v>408</v>
      </c>
      <c r="BR8"/>
      <c r="BS8"/>
      <c r="BU8" s="5"/>
      <c r="BV8" s="5"/>
      <c r="BX8"/>
      <c r="CA8" s="3"/>
      <c r="CB8" t="s">
        <v>347</v>
      </c>
      <c r="CC8" t="s">
        <v>6</v>
      </c>
      <c r="DW8">
        <v>7</v>
      </c>
      <c r="DX8">
        <v>7</v>
      </c>
    </row>
    <row r="9" spans="1:128" x14ac:dyDescent="0.25">
      <c r="A9" t="s">
        <v>520</v>
      </c>
      <c r="B9" t="s">
        <v>479</v>
      </c>
      <c r="C9">
        <v>0</v>
      </c>
      <c r="D9"/>
      <c r="AH9" t="s">
        <v>683</v>
      </c>
      <c r="AI9" t="s">
        <v>520</v>
      </c>
      <c r="AJ9" t="s">
        <v>347</v>
      </c>
      <c r="AM9" t="s">
        <v>475</v>
      </c>
      <c r="AN9">
        <v>8</v>
      </c>
      <c r="AO9" t="s">
        <v>798</v>
      </c>
      <c r="AP9" t="s">
        <v>294</v>
      </c>
      <c r="AQ9">
        <v>8</v>
      </c>
      <c r="AT9">
        <v>8</v>
      </c>
      <c r="AU9">
        <v>28</v>
      </c>
      <c r="AV9">
        <v>36</v>
      </c>
      <c r="AW9" t="s">
        <v>222</v>
      </c>
      <c r="BG9">
        <v>8</v>
      </c>
      <c r="BH9" t="s">
        <v>408</v>
      </c>
      <c r="BR9"/>
      <c r="BS9"/>
      <c r="BU9" s="5"/>
      <c r="BV9" s="5"/>
      <c r="BX9"/>
      <c r="CA9" s="3"/>
      <c r="CB9" t="s">
        <v>347</v>
      </c>
      <c r="CC9" t="s">
        <v>6</v>
      </c>
      <c r="DW9">
        <v>8</v>
      </c>
      <c r="DX9">
        <v>8</v>
      </c>
    </row>
    <row r="10" spans="1:128" x14ac:dyDescent="0.25">
      <c r="A10" t="s">
        <v>520</v>
      </c>
      <c r="B10" t="s">
        <v>479</v>
      </c>
      <c r="C10">
        <v>0</v>
      </c>
      <c r="D10"/>
      <c r="AH10" t="s">
        <v>685</v>
      </c>
      <c r="AI10" t="s">
        <v>520</v>
      </c>
      <c r="AJ10" t="s">
        <v>347</v>
      </c>
      <c r="AM10" t="s">
        <v>475</v>
      </c>
      <c r="AN10">
        <v>9</v>
      </c>
      <c r="AO10" t="s">
        <v>799</v>
      </c>
      <c r="AP10" t="s">
        <v>298</v>
      </c>
      <c r="AQ10">
        <v>9</v>
      </c>
      <c r="AT10">
        <v>9</v>
      </c>
      <c r="AU10">
        <v>36</v>
      </c>
      <c r="AV10">
        <v>45</v>
      </c>
      <c r="AW10" t="s">
        <v>222</v>
      </c>
      <c r="BG10">
        <v>9</v>
      </c>
      <c r="BH10" t="s">
        <v>408</v>
      </c>
      <c r="BR10"/>
      <c r="BS10"/>
      <c r="BU10" s="5"/>
      <c r="BV10" s="5"/>
      <c r="BX10"/>
      <c r="CA10" s="3"/>
      <c r="CB10" t="s">
        <v>347</v>
      </c>
      <c r="CC10" t="s">
        <v>6</v>
      </c>
      <c r="DW10">
        <v>9</v>
      </c>
      <c r="DX10">
        <v>9</v>
      </c>
    </row>
    <row r="11" spans="1:128" x14ac:dyDescent="0.25">
      <c r="A11" t="s">
        <v>520</v>
      </c>
      <c r="B11" t="s">
        <v>479</v>
      </c>
      <c r="C11">
        <v>0</v>
      </c>
      <c r="D11"/>
      <c r="AH11" t="s">
        <v>684</v>
      </c>
      <c r="AI11" t="s">
        <v>520</v>
      </c>
      <c r="AJ11" t="s">
        <v>347</v>
      </c>
      <c r="AM11" t="s">
        <v>475</v>
      </c>
      <c r="AN11">
        <v>10</v>
      </c>
      <c r="AO11" t="s">
        <v>800</v>
      </c>
      <c r="AP11" t="s">
        <v>301</v>
      </c>
      <c r="AQ11">
        <v>10</v>
      </c>
      <c r="AT11">
        <v>10</v>
      </c>
      <c r="AU11">
        <v>45</v>
      </c>
      <c r="AV11">
        <v>55</v>
      </c>
      <c r="AW11" t="s">
        <v>222</v>
      </c>
      <c r="BG11">
        <v>10</v>
      </c>
      <c r="BH11" t="s">
        <v>408</v>
      </c>
      <c r="BR11"/>
      <c r="BS11"/>
      <c r="BU11" s="5"/>
      <c r="BV11" s="5"/>
      <c r="BX11"/>
      <c r="CA11" s="3"/>
      <c r="CB11" t="s">
        <v>347</v>
      </c>
      <c r="CC11" t="s">
        <v>6</v>
      </c>
      <c r="DW11">
        <v>10</v>
      </c>
      <c r="DX11">
        <v>10</v>
      </c>
    </row>
    <row r="12" spans="1:128" x14ac:dyDescent="0.25">
      <c r="A12" t="s">
        <v>520</v>
      </c>
      <c r="B12" t="s">
        <v>479</v>
      </c>
      <c r="C12">
        <v>0</v>
      </c>
      <c r="D12"/>
      <c r="AH12" t="s">
        <v>721</v>
      </c>
      <c r="AI12" t="s">
        <v>520</v>
      </c>
      <c r="AM12" t="s">
        <v>475</v>
      </c>
      <c r="AN12">
        <v>11</v>
      </c>
      <c r="AO12" t="s">
        <v>801</v>
      </c>
      <c r="AP12" t="s">
        <v>301</v>
      </c>
      <c r="AQ12">
        <v>11</v>
      </c>
      <c r="AT12">
        <v>11</v>
      </c>
      <c r="AU12">
        <v>55</v>
      </c>
      <c r="AV12">
        <v>66</v>
      </c>
      <c r="BG12">
        <v>11</v>
      </c>
      <c r="BH12" t="s">
        <v>308</v>
      </c>
      <c r="BR12"/>
      <c r="BS12"/>
      <c r="BU12" s="5"/>
      <c r="BV12" s="5"/>
      <c r="BX12"/>
      <c r="CA12" s="3"/>
      <c r="DW12">
        <v>11</v>
      </c>
      <c r="DX12">
        <v>11</v>
      </c>
    </row>
    <row r="13" spans="1:128" x14ac:dyDescent="0.25">
      <c r="A13" t="s">
        <v>520</v>
      </c>
      <c r="B13" t="s">
        <v>479</v>
      </c>
      <c r="C13">
        <v>0</v>
      </c>
      <c r="D13"/>
      <c r="AH13" t="s">
        <v>722</v>
      </c>
      <c r="AI13" t="s">
        <v>520</v>
      </c>
      <c r="AM13" t="s">
        <v>475</v>
      </c>
      <c r="AN13">
        <v>12</v>
      </c>
      <c r="AO13" t="s">
        <v>802</v>
      </c>
      <c r="AP13" t="s">
        <v>301</v>
      </c>
      <c r="AQ13">
        <v>12</v>
      </c>
      <c r="AT13">
        <v>12</v>
      </c>
      <c r="AU13">
        <v>66</v>
      </c>
      <c r="AV13">
        <v>78</v>
      </c>
      <c r="BG13">
        <v>12</v>
      </c>
      <c r="BH13" t="s">
        <v>308</v>
      </c>
      <c r="BR13"/>
      <c r="BS13"/>
      <c r="BU13" s="5"/>
      <c r="BV13" s="5"/>
      <c r="BX13"/>
      <c r="CA13" s="3"/>
      <c r="DW13">
        <v>12</v>
      </c>
      <c r="DX13">
        <v>12</v>
      </c>
    </row>
    <row r="14" spans="1:128" x14ac:dyDescent="0.25">
      <c r="A14" t="s">
        <v>520</v>
      </c>
      <c r="B14" t="s">
        <v>479</v>
      </c>
      <c r="C14">
        <v>0</v>
      </c>
      <c r="D14"/>
      <c r="AH14" t="s">
        <v>723</v>
      </c>
      <c r="AI14" t="s">
        <v>520</v>
      </c>
      <c r="AM14" t="s">
        <v>475</v>
      </c>
      <c r="AN14">
        <v>13</v>
      </c>
      <c r="AO14" t="s">
        <v>803</v>
      </c>
      <c r="AP14" t="s">
        <v>301</v>
      </c>
      <c r="AQ14">
        <v>13</v>
      </c>
      <c r="AT14">
        <v>13</v>
      </c>
      <c r="AU14">
        <v>78</v>
      </c>
      <c r="AV14">
        <v>91</v>
      </c>
      <c r="BG14">
        <v>13</v>
      </c>
      <c r="BH14" t="s">
        <v>308</v>
      </c>
      <c r="BR14"/>
      <c r="BS14"/>
      <c r="BU14" s="5"/>
      <c r="BV14" s="5"/>
      <c r="BX14"/>
      <c r="CA14" s="3"/>
      <c r="DW14">
        <v>13</v>
      </c>
      <c r="DX14">
        <v>13</v>
      </c>
    </row>
    <row r="15" spans="1:128" x14ac:dyDescent="0.25">
      <c r="A15" t="s">
        <v>0</v>
      </c>
      <c r="B15" t="s">
        <v>479</v>
      </c>
      <c r="C15">
        <v>1</v>
      </c>
      <c r="D15" t="s">
        <v>788</v>
      </c>
      <c r="E15" t="s">
        <v>342</v>
      </c>
      <c r="F15" t="s">
        <v>340</v>
      </c>
      <c r="G15" t="s">
        <v>341</v>
      </c>
      <c r="H15" t="s">
        <v>343</v>
      </c>
      <c r="I15" t="s">
        <v>344</v>
      </c>
      <c r="J15" t="s">
        <v>246</v>
      </c>
      <c r="K15" t="s">
        <v>228</v>
      </c>
      <c r="L15" t="s">
        <v>229</v>
      </c>
      <c r="M15" t="s">
        <v>230</v>
      </c>
      <c r="N15" t="s">
        <v>231</v>
      </c>
      <c r="O15" t="s">
        <v>345</v>
      </c>
      <c r="P15" t="s">
        <v>232</v>
      </c>
      <c r="Q15" t="s">
        <v>232</v>
      </c>
      <c r="R15" t="s">
        <v>232</v>
      </c>
      <c r="S15">
        <v>10</v>
      </c>
      <c r="T15" t="s">
        <v>346</v>
      </c>
      <c r="U15">
        <v>45</v>
      </c>
      <c r="V15" t="s">
        <v>299</v>
      </c>
      <c r="W15">
        <v>300</v>
      </c>
      <c r="X15" t="s">
        <v>302</v>
      </c>
      <c r="Y15" t="s">
        <v>250</v>
      </c>
      <c r="Z15" t="s">
        <v>263</v>
      </c>
      <c r="AA15" t="s">
        <v>274</v>
      </c>
      <c r="AB15" t="s">
        <v>282</v>
      </c>
      <c r="AC15" t="s">
        <v>288</v>
      </c>
      <c r="AD15" t="s">
        <v>293</v>
      </c>
      <c r="AE15" t="s">
        <v>297</v>
      </c>
      <c r="AF15" t="s">
        <v>300</v>
      </c>
      <c r="AG15" t="s">
        <v>472</v>
      </c>
      <c r="AH15" t="s">
        <v>447</v>
      </c>
      <c r="AI15" t="s">
        <v>0</v>
      </c>
      <c r="AJ15" t="s">
        <v>347</v>
      </c>
      <c r="AK15" t="s">
        <v>5</v>
      </c>
      <c r="AM15" t="s">
        <v>475</v>
      </c>
      <c r="AN15">
        <v>1</v>
      </c>
      <c r="AO15" t="s">
        <v>804</v>
      </c>
      <c r="AP15" t="s">
        <v>192</v>
      </c>
      <c r="AQ15" t="s">
        <v>191</v>
      </c>
      <c r="AR15" t="s">
        <v>315</v>
      </c>
      <c r="AT15">
        <v>5</v>
      </c>
      <c r="AU15">
        <v>0</v>
      </c>
      <c r="AV15">
        <v>5</v>
      </c>
      <c r="AW15" t="s">
        <v>222</v>
      </c>
      <c r="AX15" t="s">
        <v>218</v>
      </c>
      <c r="AY15" t="s">
        <v>463</v>
      </c>
      <c r="AZ15" t="s">
        <v>219</v>
      </c>
      <c r="BA15" t="s">
        <v>220</v>
      </c>
      <c r="BB15" t="s">
        <v>221</v>
      </c>
      <c r="BC15">
        <v>1</v>
      </c>
      <c r="BD15">
        <v>1</v>
      </c>
      <c r="BG15" t="s">
        <v>307</v>
      </c>
      <c r="BH15" t="s">
        <v>408</v>
      </c>
      <c r="BI15">
        <v>1</v>
      </c>
      <c r="BJ15" t="s">
        <v>464</v>
      </c>
      <c r="BK15" t="s">
        <v>464</v>
      </c>
      <c r="BL15" t="s">
        <v>222</v>
      </c>
      <c r="BM15" t="s">
        <v>464</v>
      </c>
      <c r="BR15"/>
      <c r="BS15"/>
      <c r="BU15" s="5"/>
      <c r="BV15" s="5"/>
      <c r="BX15" t="s">
        <v>5</v>
      </c>
      <c r="BY15">
        <v>1</v>
      </c>
      <c r="BZ15" t="s">
        <v>8</v>
      </c>
      <c r="CA15" s="3">
        <v>77</v>
      </c>
      <c r="CB15" t="s">
        <v>347</v>
      </c>
      <c r="CC15" t="s">
        <v>6</v>
      </c>
      <c r="DW15">
        <v>14</v>
      </c>
      <c r="DX15">
        <v>14</v>
      </c>
    </row>
    <row r="16" spans="1:128" x14ac:dyDescent="0.25">
      <c r="A16" t="s">
        <v>0</v>
      </c>
      <c r="B16" t="s">
        <v>479</v>
      </c>
      <c r="C16">
        <v>1</v>
      </c>
      <c r="D16" t="s">
        <v>788</v>
      </c>
      <c r="E16" t="s">
        <v>342</v>
      </c>
      <c r="F16" t="s">
        <v>340</v>
      </c>
      <c r="G16" t="s">
        <v>341</v>
      </c>
      <c r="H16" t="s">
        <v>343</v>
      </c>
      <c r="I16" t="s">
        <v>344</v>
      </c>
      <c r="J16" t="s">
        <v>246</v>
      </c>
      <c r="K16" t="s">
        <v>228</v>
      </c>
      <c r="L16" t="s">
        <v>229</v>
      </c>
      <c r="M16" t="s">
        <v>230</v>
      </c>
      <c r="N16" t="s">
        <v>231</v>
      </c>
      <c r="O16" t="s">
        <v>345</v>
      </c>
      <c r="P16" t="s">
        <v>232</v>
      </c>
      <c r="Q16" t="s">
        <v>232</v>
      </c>
      <c r="R16" t="s">
        <v>232</v>
      </c>
      <c r="S16">
        <v>10</v>
      </c>
      <c r="T16" t="s">
        <v>346</v>
      </c>
      <c r="U16">
        <v>45</v>
      </c>
      <c r="V16" t="s">
        <v>299</v>
      </c>
      <c r="W16">
        <v>300</v>
      </c>
      <c r="X16" t="s">
        <v>302</v>
      </c>
      <c r="Y16" t="s">
        <v>250</v>
      </c>
      <c r="Z16" t="s">
        <v>263</v>
      </c>
      <c r="AA16" t="s">
        <v>274</v>
      </c>
      <c r="AB16" t="s">
        <v>282</v>
      </c>
      <c r="AC16" t="s">
        <v>288</v>
      </c>
      <c r="AD16" t="s">
        <v>293</v>
      </c>
      <c r="AE16" t="s">
        <v>297</v>
      </c>
      <c r="AF16" t="s">
        <v>300</v>
      </c>
      <c r="AG16" t="s">
        <v>472</v>
      </c>
      <c r="AH16" t="s">
        <v>468</v>
      </c>
      <c r="AI16" t="s">
        <v>0</v>
      </c>
      <c r="AJ16" t="s">
        <v>3</v>
      </c>
      <c r="AK16" t="s">
        <v>521</v>
      </c>
      <c r="AM16" t="s">
        <v>475</v>
      </c>
      <c r="AN16">
        <v>2</v>
      </c>
      <c r="AO16" t="s">
        <v>804</v>
      </c>
      <c r="AP16" t="s">
        <v>192</v>
      </c>
      <c r="AQ16" t="s">
        <v>191</v>
      </c>
      <c r="AR16" t="s">
        <v>315</v>
      </c>
      <c r="AT16">
        <v>3</v>
      </c>
      <c r="AU16">
        <v>5</v>
      </c>
      <c r="AV16">
        <v>8</v>
      </c>
      <c r="AW16" t="s">
        <v>193</v>
      </c>
      <c r="AX16" t="s">
        <v>235</v>
      </c>
      <c r="AY16" t="s">
        <v>448</v>
      </c>
      <c r="AZ16" t="s">
        <v>236</v>
      </c>
      <c r="BA16" t="s">
        <v>237</v>
      </c>
      <c r="BB16" t="s">
        <v>238</v>
      </c>
      <c r="BC16">
        <v>2</v>
      </c>
      <c r="BD16">
        <v>2</v>
      </c>
      <c r="BG16" t="s">
        <v>456</v>
      </c>
      <c r="BH16" t="s">
        <v>308</v>
      </c>
      <c r="BI16">
        <v>2</v>
      </c>
      <c r="BJ16" t="s">
        <v>465</v>
      </c>
      <c r="BK16" t="s">
        <v>465</v>
      </c>
      <c r="BL16" t="s">
        <v>193</v>
      </c>
      <c r="BM16" t="s">
        <v>465</v>
      </c>
      <c r="BR16"/>
      <c r="BS16"/>
      <c r="BU16" s="5"/>
      <c r="BV16" s="5"/>
      <c r="BX16" t="s">
        <v>521</v>
      </c>
      <c r="BY16">
        <v>2</v>
      </c>
      <c r="BZ16" t="s">
        <v>314</v>
      </c>
      <c r="CA16" s="3">
        <v>3</v>
      </c>
      <c r="CB16" t="s">
        <v>3</v>
      </c>
      <c r="CC16" t="s">
        <v>239</v>
      </c>
      <c r="CE16" t="s">
        <v>239</v>
      </c>
      <c r="CF16" t="s">
        <v>244</v>
      </c>
      <c r="CI16" t="s">
        <v>467</v>
      </c>
      <c r="CJ16" t="s">
        <v>467</v>
      </c>
      <c r="CK16" t="s">
        <v>467</v>
      </c>
      <c r="CL16" t="s">
        <v>467</v>
      </c>
      <c r="CM16" t="s">
        <v>467</v>
      </c>
      <c r="CN16" t="s">
        <v>467</v>
      </c>
      <c r="CO16" t="s">
        <v>467</v>
      </c>
      <c r="CP16" t="s">
        <v>467</v>
      </c>
      <c r="CQ16" t="s">
        <v>408</v>
      </c>
      <c r="CR16" t="s">
        <v>467</v>
      </c>
      <c r="CS16" t="s">
        <v>467</v>
      </c>
      <c r="CT16" t="s">
        <v>223</v>
      </c>
      <c r="CU16" t="s">
        <v>223</v>
      </c>
      <c r="CV16" t="s">
        <v>241</v>
      </c>
      <c r="CW16" t="s">
        <v>774</v>
      </c>
      <c r="CX16" t="s">
        <v>745</v>
      </c>
      <c r="CY16" t="s">
        <v>7</v>
      </c>
      <c r="CZ16" t="s">
        <v>271</v>
      </c>
      <c r="DA16" t="s">
        <v>773</v>
      </c>
      <c r="DB16" t="s">
        <v>729</v>
      </c>
      <c r="DC16" t="s">
        <v>7</v>
      </c>
      <c r="DD16" t="s">
        <v>467</v>
      </c>
      <c r="DF16" t="s">
        <v>241</v>
      </c>
      <c r="DW16">
        <v>15</v>
      </c>
      <c r="DX16">
        <v>14</v>
      </c>
    </row>
    <row r="17" spans="1:128" x14ac:dyDescent="0.25">
      <c r="A17" t="s">
        <v>0</v>
      </c>
      <c r="B17" t="s">
        <v>479</v>
      </c>
      <c r="C17">
        <v>1</v>
      </c>
      <c r="D17" t="s">
        <v>788</v>
      </c>
      <c r="E17" t="s">
        <v>342</v>
      </c>
      <c r="F17" t="s">
        <v>340</v>
      </c>
      <c r="G17" t="s">
        <v>341</v>
      </c>
      <c r="H17" t="s">
        <v>343</v>
      </c>
      <c r="I17" t="s">
        <v>344</v>
      </c>
      <c r="J17" t="s">
        <v>246</v>
      </c>
      <c r="K17" t="s">
        <v>228</v>
      </c>
      <c r="L17" t="s">
        <v>229</v>
      </c>
      <c r="M17" t="s">
        <v>230</v>
      </c>
      <c r="N17" t="s">
        <v>231</v>
      </c>
      <c r="O17" t="s">
        <v>345</v>
      </c>
      <c r="P17" t="s">
        <v>232</v>
      </c>
      <c r="Q17" t="s">
        <v>232</v>
      </c>
      <c r="R17" t="s">
        <v>232</v>
      </c>
      <c r="S17">
        <v>10</v>
      </c>
      <c r="T17" t="s">
        <v>346</v>
      </c>
      <c r="U17">
        <v>45</v>
      </c>
      <c r="V17" t="s">
        <v>299</v>
      </c>
      <c r="W17">
        <v>300</v>
      </c>
      <c r="X17" t="s">
        <v>302</v>
      </c>
      <c r="Y17" t="s">
        <v>250</v>
      </c>
      <c r="Z17" t="s">
        <v>263</v>
      </c>
      <c r="AA17" t="s">
        <v>274</v>
      </c>
      <c r="AB17" t="s">
        <v>282</v>
      </c>
      <c r="AC17" t="s">
        <v>288</v>
      </c>
      <c r="AD17" t="s">
        <v>293</v>
      </c>
      <c r="AE17" t="s">
        <v>297</v>
      </c>
      <c r="AF17" t="s">
        <v>300</v>
      </c>
      <c r="AG17" t="s">
        <v>472</v>
      </c>
      <c r="AH17" t="s">
        <v>697</v>
      </c>
      <c r="AI17" t="s">
        <v>0</v>
      </c>
      <c r="AJ17" t="s">
        <v>347</v>
      </c>
      <c r="AK17" t="s">
        <v>522</v>
      </c>
      <c r="AM17" t="s">
        <v>475</v>
      </c>
      <c r="AN17">
        <v>3</v>
      </c>
      <c r="AO17" t="s">
        <v>804</v>
      </c>
      <c r="AP17" t="s">
        <v>192</v>
      </c>
      <c r="AQ17" t="s">
        <v>523</v>
      </c>
      <c r="AR17" t="s">
        <v>348</v>
      </c>
      <c r="AT17">
        <v>4.2</v>
      </c>
      <c r="AU17">
        <v>7.9999999999999991</v>
      </c>
      <c r="AV17">
        <v>12.2</v>
      </c>
      <c r="AW17" t="s">
        <v>193</v>
      </c>
      <c r="AX17" t="s">
        <v>253</v>
      </c>
      <c r="AY17" t="s">
        <v>551</v>
      </c>
      <c r="AZ17" t="s">
        <v>254</v>
      </c>
      <c r="BA17" t="s">
        <v>255</v>
      </c>
      <c r="BB17" t="s">
        <v>256</v>
      </c>
      <c r="BC17">
        <v>3</v>
      </c>
      <c r="BD17">
        <v>3</v>
      </c>
      <c r="BG17" t="s">
        <v>456</v>
      </c>
      <c r="BH17" t="s">
        <v>308</v>
      </c>
      <c r="BI17">
        <v>3</v>
      </c>
      <c r="BJ17" t="s">
        <v>562</v>
      </c>
      <c r="BK17" t="s">
        <v>562</v>
      </c>
      <c r="BL17" t="s">
        <v>222</v>
      </c>
      <c r="BM17" t="s">
        <v>562</v>
      </c>
      <c r="BR17"/>
      <c r="BS17"/>
      <c r="BU17" s="5"/>
      <c r="BV17" s="5"/>
      <c r="BX17" t="s">
        <v>522</v>
      </c>
      <c r="BY17">
        <v>3</v>
      </c>
      <c r="BZ17" t="s">
        <v>8</v>
      </c>
      <c r="CA17" s="3">
        <v>5</v>
      </c>
      <c r="CB17" t="s">
        <v>347</v>
      </c>
      <c r="CC17" t="s">
        <v>6</v>
      </c>
      <c r="DW17">
        <v>16</v>
      </c>
      <c r="DX17">
        <v>14</v>
      </c>
    </row>
    <row r="18" spans="1:128" x14ac:dyDescent="0.25">
      <c r="A18" t="s">
        <v>0</v>
      </c>
      <c r="B18" t="s">
        <v>479</v>
      </c>
      <c r="C18">
        <v>1</v>
      </c>
      <c r="D18" t="s">
        <v>788</v>
      </c>
      <c r="E18" t="s">
        <v>342</v>
      </c>
      <c r="F18" t="s">
        <v>340</v>
      </c>
      <c r="G18" t="s">
        <v>341</v>
      </c>
      <c r="H18" t="s">
        <v>343</v>
      </c>
      <c r="I18" t="s">
        <v>344</v>
      </c>
      <c r="J18" t="s">
        <v>246</v>
      </c>
      <c r="K18" t="s">
        <v>228</v>
      </c>
      <c r="L18" t="s">
        <v>229</v>
      </c>
      <c r="M18" t="s">
        <v>230</v>
      </c>
      <c r="N18" t="s">
        <v>231</v>
      </c>
      <c r="O18" t="s">
        <v>345</v>
      </c>
      <c r="P18" t="s">
        <v>232</v>
      </c>
      <c r="Q18" t="s">
        <v>232</v>
      </c>
      <c r="R18" t="s">
        <v>232</v>
      </c>
      <c r="S18">
        <v>10</v>
      </c>
      <c r="T18" t="s">
        <v>346</v>
      </c>
      <c r="U18">
        <v>45</v>
      </c>
      <c r="V18" t="s">
        <v>299</v>
      </c>
      <c r="W18">
        <v>300</v>
      </c>
      <c r="X18" t="s">
        <v>302</v>
      </c>
      <c r="Y18" t="s">
        <v>250</v>
      </c>
      <c r="Z18" t="s">
        <v>263</v>
      </c>
      <c r="AA18" t="s">
        <v>274</v>
      </c>
      <c r="AB18" t="s">
        <v>282</v>
      </c>
      <c r="AC18" t="s">
        <v>288</v>
      </c>
      <c r="AD18" t="s">
        <v>293</v>
      </c>
      <c r="AE18" t="s">
        <v>297</v>
      </c>
      <c r="AF18" t="s">
        <v>300</v>
      </c>
      <c r="AG18" t="s">
        <v>472</v>
      </c>
      <c r="AH18" t="s">
        <v>698</v>
      </c>
      <c r="AI18" t="s">
        <v>0</v>
      </c>
      <c r="AJ18" t="s">
        <v>524</v>
      </c>
      <c r="AL18" t="s">
        <v>4</v>
      </c>
      <c r="AM18" t="s">
        <v>475</v>
      </c>
      <c r="AN18">
        <v>4</v>
      </c>
      <c r="AO18" t="s">
        <v>805</v>
      </c>
      <c r="AP18" t="s">
        <v>233</v>
      </c>
      <c r="AQ18" t="s">
        <v>525</v>
      </c>
      <c r="AR18" t="s">
        <v>315</v>
      </c>
      <c r="AT18">
        <v>3</v>
      </c>
      <c r="AU18">
        <v>12.2</v>
      </c>
      <c r="AV18">
        <v>15.2</v>
      </c>
      <c r="AX18" t="s">
        <v>266</v>
      </c>
      <c r="AY18" t="s">
        <v>552</v>
      </c>
      <c r="AZ18" t="s">
        <v>267</v>
      </c>
      <c r="BA18" t="s">
        <v>268</v>
      </c>
      <c r="BB18" t="s">
        <v>269</v>
      </c>
      <c r="BC18">
        <v>4</v>
      </c>
      <c r="BD18">
        <v>4</v>
      </c>
      <c r="BF18" t="s">
        <v>265</v>
      </c>
      <c r="BG18" t="s">
        <v>525</v>
      </c>
      <c r="BH18" t="s">
        <v>308</v>
      </c>
      <c r="BI18">
        <v>4</v>
      </c>
      <c r="BJ18" t="s">
        <v>464</v>
      </c>
      <c r="BK18" t="s">
        <v>464</v>
      </c>
      <c r="BL18" t="s">
        <v>193</v>
      </c>
      <c r="BM18" t="s">
        <v>464</v>
      </c>
      <c r="BN18" t="s">
        <v>4</v>
      </c>
      <c r="BO18">
        <v>1</v>
      </c>
      <c r="BP18">
        <v>0.42</v>
      </c>
      <c r="BQ18">
        <v>0.39</v>
      </c>
      <c r="BR18">
        <v>0.39</v>
      </c>
      <c r="BS18">
        <v>0.4</v>
      </c>
      <c r="BT18">
        <v>56.3</v>
      </c>
      <c r="BU18" s="5">
        <v>48</v>
      </c>
      <c r="BV18" s="5">
        <v>87</v>
      </c>
      <c r="BW18">
        <v>120</v>
      </c>
      <c r="BX18"/>
      <c r="CA18" s="3"/>
      <c r="CB18" t="s">
        <v>524</v>
      </c>
      <c r="CC18" t="s">
        <v>412</v>
      </c>
      <c r="CE18" t="s">
        <v>437</v>
      </c>
      <c r="CF18" t="s">
        <v>226</v>
      </c>
      <c r="CI18" t="s">
        <v>639</v>
      </c>
      <c r="CJ18" t="s">
        <v>639</v>
      </c>
      <c r="CK18" t="s">
        <v>639</v>
      </c>
      <c r="CL18" t="s">
        <v>639</v>
      </c>
      <c r="CM18" t="s">
        <v>639</v>
      </c>
      <c r="CN18" t="s">
        <v>639</v>
      </c>
      <c r="CO18" t="s">
        <v>639</v>
      </c>
      <c r="CP18" t="s">
        <v>639</v>
      </c>
      <c r="CQ18" t="s">
        <v>409</v>
      </c>
      <c r="CR18" t="s">
        <v>639</v>
      </c>
      <c r="CS18" t="s">
        <v>639</v>
      </c>
      <c r="CT18" t="s">
        <v>240</v>
      </c>
      <c r="CU18" t="s">
        <v>240</v>
      </c>
      <c r="CV18" t="s">
        <v>7</v>
      </c>
      <c r="CW18" t="s">
        <v>751</v>
      </c>
      <c r="CX18" t="s">
        <v>746</v>
      </c>
      <c r="CY18" t="s">
        <v>241</v>
      </c>
      <c r="CZ18" t="s">
        <v>258</v>
      </c>
      <c r="DA18" t="s">
        <v>729</v>
      </c>
      <c r="DB18" t="s">
        <v>225</v>
      </c>
      <c r="DC18" t="s">
        <v>241</v>
      </c>
      <c r="DD18" t="s">
        <v>639</v>
      </c>
      <c r="DW18">
        <v>17</v>
      </c>
      <c r="DX18">
        <v>15</v>
      </c>
    </row>
    <row r="19" spans="1:128" x14ac:dyDescent="0.25">
      <c r="A19" t="s">
        <v>0</v>
      </c>
      <c r="B19" t="s">
        <v>479</v>
      </c>
      <c r="C19">
        <v>1</v>
      </c>
      <c r="D19" t="s">
        <v>788</v>
      </c>
      <c r="E19" t="s">
        <v>342</v>
      </c>
      <c r="F19" t="s">
        <v>340</v>
      </c>
      <c r="G19" t="s">
        <v>341</v>
      </c>
      <c r="H19" t="s">
        <v>343</v>
      </c>
      <c r="I19" t="s">
        <v>344</v>
      </c>
      <c r="J19" t="s">
        <v>246</v>
      </c>
      <c r="K19" t="s">
        <v>228</v>
      </c>
      <c r="L19" t="s">
        <v>229</v>
      </c>
      <c r="M19" t="s">
        <v>230</v>
      </c>
      <c r="N19" t="s">
        <v>231</v>
      </c>
      <c r="O19" t="s">
        <v>345</v>
      </c>
      <c r="P19" t="s">
        <v>232</v>
      </c>
      <c r="Q19" t="s">
        <v>232</v>
      </c>
      <c r="R19" t="s">
        <v>232</v>
      </c>
      <c r="S19">
        <v>10</v>
      </c>
      <c r="T19" t="s">
        <v>346</v>
      </c>
      <c r="U19">
        <v>45</v>
      </c>
      <c r="V19" t="s">
        <v>299</v>
      </c>
      <c r="W19">
        <v>300</v>
      </c>
      <c r="X19" t="s">
        <v>302</v>
      </c>
      <c r="Y19" t="s">
        <v>250</v>
      </c>
      <c r="Z19" t="s">
        <v>263</v>
      </c>
      <c r="AA19" t="s">
        <v>274</v>
      </c>
      <c r="AB19" t="s">
        <v>282</v>
      </c>
      <c r="AC19" t="s">
        <v>288</v>
      </c>
      <c r="AD19" t="s">
        <v>293</v>
      </c>
      <c r="AE19" t="s">
        <v>297</v>
      </c>
      <c r="AF19" t="s">
        <v>300</v>
      </c>
      <c r="AG19" t="s">
        <v>472</v>
      </c>
      <c r="AH19" t="s">
        <v>692</v>
      </c>
      <c r="AI19" t="s">
        <v>0</v>
      </c>
      <c r="AJ19" t="s">
        <v>526</v>
      </c>
      <c r="AM19" t="s">
        <v>475</v>
      </c>
      <c r="AN19">
        <v>5</v>
      </c>
      <c r="AO19" t="s">
        <v>806</v>
      </c>
      <c r="AP19" t="s">
        <v>233</v>
      </c>
      <c r="AQ19" t="s">
        <v>527</v>
      </c>
      <c r="AR19" t="s">
        <v>528</v>
      </c>
      <c r="AT19">
        <v>6</v>
      </c>
      <c r="AU19">
        <v>15.2</v>
      </c>
      <c r="AV19">
        <v>21.2</v>
      </c>
      <c r="AY19" t="s">
        <v>463</v>
      </c>
      <c r="AZ19" t="s">
        <v>219</v>
      </c>
      <c r="BA19" t="s">
        <v>277</v>
      </c>
      <c r="BB19" t="s">
        <v>278</v>
      </c>
      <c r="BC19">
        <v>5</v>
      </c>
      <c r="BD19">
        <v>5</v>
      </c>
      <c r="BF19" t="s">
        <v>276</v>
      </c>
      <c r="BG19" t="s">
        <v>527</v>
      </c>
      <c r="BH19" t="s">
        <v>308</v>
      </c>
      <c r="BI19">
        <v>5</v>
      </c>
      <c r="BJ19" t="s">
        <v>465</v>
      </c>
      <c r="BK19" t="s">
        <v>465</v>
      </c>
      <c r="BL19" t="s">
        <v>222</v>
      </c>
      <c r="BM19" t="s">
        <v>465</v>
      </c>
      <c r="BR19"/>
      <c r="BS19"/>
      <c r="BU19" s="5"/>
      <c r="BV19" s="5"/>
      <c r="BX19"/>
      <c r="CA19" s="3"/>
      <c r="CB19" t="s">
        <v>526</v>
      </c>
      <c r="CC19" t="s">
        <v>437</v>
      </c>
      <c r="CE19" t="s">
        <v>239</v>
      </c>
      <c r="CF19" t="s">
        <v>226</v>
      </c>
      <c r="CG19" t="s">
        <v>226</v>
      </c>
      <c r="CI19" t="s">
        <v>641</v>
      </c>
      <c r="CJ19" t="s">
        <v>641</v>
      </c>
      <c r="CK19" t="s">
        <v>641</v>
      </c>
      <c r="CL19" t="s">
        <v>641</v>
      </c>
      <c r="CM19" t="s">
        <v>641</v>
      </c>
      <c r="CN19" t="s">
        <v>641</v>
      </c>
      <c r="CO19" t="s">
        <v>641</v>
      </c>
      <c r="CP19" t="s">
        <v>641</v>
      </c>
      <c r="CQ19" t="s">
        <v>408</v>
      </c>
      <c r="CR19" t="s">
        <v>641</v>
      </c>
      <c r="CS19" t="s">
        <v>641</v>
      </c>
      <c r="CT19" t="s">
        <v>257</v>
      </c>
      <c r="CU19" t="s">
        <v>257</v>
      </c>
      <c r="CV19" t="s">
        <v>241</v>
      </c>
      <c r="CW19" t="s">
        <v>761</v>
      </c>
      <c r="CX19" t="s">
        <v>752</v>
      </c>
      <c r="CY19" t="s">
        <v>7</v>
      </c>
      <c r="CZ19" t="s">
        <v>242</v>
      </c>
      <c r="DA19" t="s">
        <v>730</v>
      </c>
      <c r="DC19" t="s">
        <v>7</v>
      </c>
      <c r="DD19" t="s">
        <v>641</v>
      </c>
      <c r="DW19">
        <v>18</v>
      </c>
      <c r="DX19">
        <v>16</v>
      </c>
    </row>
    <row r="20" spans="1:128" x14ac:dyDescent="0.25">
      <c r="A20" t="s">
        <v>0</v>
      </c>
      <c r="B20" t="s">
        <v>479</v>
      </c>
      <c r="C20">
        <v>1</v>
      </c>
      <c r="D20" t="s">
        <v>788</v>
      </c>
      <c r="E20" t="s">
        <v>342</v>
      </c>
      <c r="F20" t="s">
        <v>340</v>
      </c>
      <c r="G20" t="s">
        <v>341</v>
      </c>
      <c r="H20" t="s">
        <v>343</v>
      </c>
      <c r="I20" t="s">
        <v>344</v>
      </c>
      <c r="J20" t="s">
        <v>246</v>
      </c>
      <c r="K20" t="s">
        <v>228</v>
      </c>
      <c r="L20" t="s">
        <v>229</v>
      </c>
      <c r="M20" t="s">
        <v>230</v>
      </c>
      <c r="N20" t="s">
        <v>231</v>
      </c>
      <c r="O20" t="s">
        <v>345</v>
      </c>
      <c r="P20" t="s">
        <v>232</v>
      </c>
      <c r="Q20" t="s">
        <v>232</v>
      </c>
      <c r="R20" t="s">
        <v>232</v>
      </c>
      <c r="S20">
        <v>10</v>
      </c>
      <c r="T20" t="s">
        <v>346</v>
      </c>
      <c r="U20">
        <v>45</v>
      </c>
      <c r="V20" t="s">
        <v>299</v>
      </c>
      <c r="W20">
        <v>300</v>
      </c>
      <c r="X20" t="s">
        <v>302</v>
      </c>
      <c r="Y20" t="s">
        <v>250</v>
      </c>
      <c r="Z20" t="s">
        <v>263</v>
      </c>
      <c r="AA20" t="s">
        <v>274</v>
      </c>
      <c r="AB20" t="s">
        <v>282</v>
      </c>
      <c r="AC20" t="s">
        <v>288</v>
      </c>
      <c r="AD20" t="s">
        <v>293</v>
      </c>
      <c r="AE20" t="s">
        <v>297</v>
      </c>
      <c r="AF20" t="s">
        <v>300</v>
      </c>
      <c r="AG20" t="s">
        <v>472</v>
      </c>
      <c r="AH20" t="s">
        <v>694</v>
      </c>
      <c r="AI20" t="s">
        <v>0</v>
      </c>
      <c r="AJ20" t="s">
        <v>529</v>
      </c>
      <c r="AM20" t="s">
        <v>475</v>
      </c>
      <c r="AN20">
        <v>6</v>
      </c>
      <c r="AO20" t="s">
        <v>807</v>
      </c>
      <c r="AP20" t="s">
        <v>251</v>
      </c>
      <c r="AQ20" t="s">
        <v>530</v>
      </c>
      <c r="AT20">
        <v>78</v>
      </c>
      <c r="AU20">
        <v>21.200000000000003</v>
      </c>
      <c r="AV20">
        <v>99.2</v>
      </c>
      <c r="AX20" t="s">
        <v>235</v>
      </c>
      <c r="AY20" t="s">
        <v>448</v>
      </c>
      <c r="AZ20" t="s">
        <v>236</v>
      </c>
      <c r="BA20" t="s">
        <v>284</v>
      </c>
      <c r="BB20" t="s">
        <v>221</v>
      </c>
      <c r="BC20">
        <v>6</v>
      </c>
      <c r="BD20">
        <v>6</v>
      </c>
      <c r="BF20" t="s">
        <v>252</v>
      </c>
      <c r="BG20" t="s">
        <v>570</v>
      </c>
      <c r="BH20" t="s">
        <v>308</v>
      </c>
      <c r="BI20">
        <v>6</v>
      </c>
      <c r="BJ20" t="s">
        <v>562</v>
      </c>
      <c r="BK20" t="s">
        <v>562</v>
      </c>
      <c r="BL20" t="s">
        <v>193</v>
      </c>
      <c r="BM20" t="s">
        <v>562</v>
      </c>
      <c r="BR20"/>
      <c r="BS20"/>
      <c r="BU20" s="5"/>
      <c r="BV20" s="5"/>
      <c r="BX20"/>
      <c r="CA20" s="3"/>
      <c r="CB20" t="s">
        <v>529</v>
      </c>
      <c r="CC20" t="s">
        <v>6</v>
      </c>
      <c r="CD20" t="s">
        <v>178</v>
      </c>
      <c r="CE20" t="s">
        <v>6</v>
      </c>
      <c r="CF20" t="s">
        <v>244</v>
      </c>
      <c r="CI20" t="s">
        <v>647</v>
      </c>
      <c r="CJ20" t="s">
        <v>647</v>
      </c>
      <c r="CK20" t="s">
        <v>647</v>
      </c>
      <c r="CL20" t="s">
        <v>647</v>
      </c>
      <c r="CM20" t="s">
        <v>647</v>
      </c>
      <c r="CN20" t="s">
        <v>647</v>
      </c>
      <c r="CO20" t="s">
        <v>647</v>
      </c>
      <c r="CP20" t="s">
        <v>647</v>
      </c>
      <c r="CQ20" t="s">
        <v>409</v>
      </c>
      <c r="CR20" t="s">
        <v>647</v>
      </c>
      <c r="CS20" t="s">
        <v>647</v>
      </c>
      <c r="CT20" t="s">
        <v>270</v>
      </c>
      <c r="CU20" t="s">
        <v>270</v>
      </c>
      <c r="CW20" t="s">
        <v>762</v>
      </c>
      <c r="CX20" t="s">
        <v>753</v>
      </c>
      <c r="CY20" t="s">
        <v>241</v>
      </c>
      <c r="CZ20" t="s">
        <v>224</v>
      </c>
      <c r="DA20" t="s">
        <v>731</v>
      </c>
      <c r="DB20" t="s">
        <v>730</v>
      </c>
      <c r="DC20" t="s">
        <v>241</v>
      </c>
      <c r="DD20" t="s">
        <v>647</v>
      </c>
      <c r="DW20">
        <v>19</v>
      </c>
      <c r="DX20">
        <v>17</v>
      </c>
    </row>
    <row r="21" spans="1:128" x14ac:dyDescent="0.25">
      <c r="A21" t="s">
        <v>0</v>
      </c>
      <c r="B21" t="s">
        <v>479</v>
      </c>
      <c r="C21">
        <v>1</v>
      </c>
      <c r="D21" t="s">
        <v>788</v>
      </c>
      <c r="E21" t="s">
        <v>342</v>
      </c>
      <c r="F21" t="s">
        <v>340</v>
      </c>
      <c r="G21" t="s">
        <v>341</v>
      </c>
      <c r="H21" t="s">
        <v>343</v>
      </c>
      <c r="I21" t="s">
        <v>344</v>
      </c>
      <c r="J21" t="s">
        <v>246</v>
      </c>
      <c r="K21" t="s">
        <v>228</v>
      </c>
      <c r="L21" t="s">
        <v>229</v>
      </c>
      <c r="M21" t="s">
        <v>230</v>
      </c>
      <c r="N21" t="s">
        <v>231</v>
      </c>
      <c r="O21" t="s">
        <v>345</v>
      </c>
      <c r="P21" t="s">
        <v>232</v>
      </c>
      <c r="Q21" t="s">
        <v>232</v>
      </c>
      <c r="R21" t="s">
        <v>232</v>
      </c>
      <c r="S21">
        <v>10</v>
      </c>
      <c r="T21" t="s">
        <v>346</v>
      </c>
      <c r="U21">
        <v>45</v>
      </c>
      <c r="V21" t="s">
        <v>299</v>
      </c>
      <c r="W21">
        <v>300</v>
      </c>
      <c r="X21" t="s">
        <v>302</v>
      </c>
      <c r="Y21" t="s">
        <v>250</v>
      </c>
      <c r="Z21" t="s">
        <v>263</v>
      </c>
      <c r="AA21" t="s">
        <v>274</v>
      </c>
      <c r="AB21" t="s">
        <v>282</v>
      </c>
      <c r="AC21" t="s">
        <v>288</v>
      </c>
      <c r="AD21" t="s">
        <v>293</v>
      </c>
      <c r="AE21" t="s">
        <v>297</v>
      </c>
      <c r="AF21" t="s">
        <v>300</v>
      </c>
      <c r="AG21" t="s">
        <v>472</v>
      </c>
      <c r="AH21" t="s">
        <v>696</v>
      </c>
      <c r="AI21" t="s">
        <v>0</v>
      </c>
      <c r="AJ21" t="s">
        <v>531</v>
      </c>
      <c r="AM21" t="s">
        <v>475</v>
      </c>
      <c r="AN21">
        <v>7</v>
      </c>
      <c r="AO21" t="s">
        <v>808</v>
      </c>
      <c r="AP21" t="s">
        <v>251</v>
      </c>
      <c r="AQ21" t="s">
        <v>530</v>
      </c>
      <c r="AT21">
        <v>9</v>
      </c>
      <c r="AU21">
        <v>99.2</v>
      </c>
      <c r="AV21">
        <v>108.2</v>
      </c>
      <c r="AX21" t="s">
        <v>253</v>
      </c>
      <c r="AY21" t="s">
        <v>551</v>
      </c>
      <c r="AZ21" t="s">
        <v>254</v>
      </c>
      <c r="BA21" t="s">
        <v>290</v>
      </c>
      <c r="BB21" t="s">
        <v>238</v>
      </c>
      <c r="BC21">
        <v>7</v>
      </c>
      <c r="BD21">
        <v>7</v>
      </c>
      <c r="BF21" t="s">
        <v>217</v>
      </c>
      <c r="BG21" t="s">
        <v>570</v>
      </c>
      <c r="BH21" t="s">
        <v>308</v>
      </c>
      <c r="BI21">
        <v>7</v>
      </c>
      <c r="BJ21" t="s">
        <v>464</v>
      </c>
      <c r="BK21" t="s">
        <v>464</v>
      </c>
      <c r="BL21" t="s">
        <v>222</v>
      </c>
      <c r="BM21" t="s">
        <v>464</v>
      </c>
      <c r="BR21"/>
      <c r="BS21"/>
      <c r="BU21" s="5"/>
      <c r="BV21" s="5"/>
      <c r="BX21"/>
      <c r="CA21" s="3"/>
      <c r="CB21" t="s">
        <v>531</v>
      </c>
      <c r="CC21" t="s">
        <v>6</v>
      </c>
      <c r="CD21" t="s">
        <v>116</v>
      </c>
      <c r="CE21" t="s">
        <v>6</v>
      </c>
      <c r="CF21" t="s">
        <v>244</v>
      </c>
      <c r="CG21" t="s">
        <v>226</v>
      </c>
      <c r="CH21" t="s">
        <v>483</v>
      </c>
      <c r="CI21" t="s">
        <v>651</v>
      </c>
      <c r="CJ21" t="s">
        <v>651</v>
      </c>
      <c r="CK21" t="s">
        <v>651</v>
      </c>
      <c r="CL21" t="s">
        <v>651</v>
      </c>
      <c r="CM21" t="s">
        <v>651</v>
      </c>
      <c r="CN21" t="s">
        <v>651</v>
      </c>
      <c r="CO21" t="s">
        <v>651</v>
      </c>
      <c r="CP21" t="s">
        <v>651</v>
      </c>
      <c r="CQ21" t="s">
        <v>408</v>
      </c>
      <c r="CR21" t="s">
        <v>651</v>
      </c>
      <c r="CS21" t="s">
        <v>651</v>
      </c>
      <c r="CT21" t="s">
        <v>279</v>
      </c>
      <c r="CU21" t="s">
        <v>279</v>
      </c>
      <c r="CV21" t="s">
        <v>241</v>
      </c>
      <c r="CW21" t="s">
        <v>763</v>
      </c>
      <c r="CX21" t="s">
        <v>754</v>
      </c>
      <c r="CY21" t="s">
        <v>7</v>
      </c>
      <c r="CZ21" t="s">
        <v>242</v>
      </c>
      <c r="DA21" t="s">
        <v>732</v>
      </c>
      <c r="DB21" t="s">
        <v>729</v>
      </c>
      <c r="DC21" t="s">
        <v>241</v>
      </c>
      <c r="DD21" t="s">
        <v>651</v>
      </c>
      <c r="DF21" t="s">
        <v>241</v>
      </c>
      <c r="DW21">
        <v>20</v>
      </c>
      <c r="DX21">
        <v>18</v>
      </c>
    </row>
    <row r="22" spans="1:128" x14ac:dyDescent="0.25">
      <c r="A22" t="s">
        <v>0</v>
      </c>
      <c r="B22" t="s">
        <v>479</v>
      </c>
      <c r="C22">
        <v>1</v>
      </c>
      <c r="D22" t="s">
        <v>788</v>
      </c>
      <c r="E22" t="s">
        <v>342</v>
      </c>
      <c r="F22" t="s">
        <v>340</v>
      </c>
      <c r="G22" t="s">
        <v>341</v>
      </c>
      <c r="H22" t="s">
        <v>343</v>
      </c>
      <c r="I22" t="s">
        <v>344</v>
      </c>
      <c r="J22" t="s">
        <v>246</v>
      </c>
      <c r="K22" t="s">
        <v>228</v>
      </c>
      <c r="L22" t="s">
        <v>229</v>
      </c>
      <c r="M22" t="s">
        <v>230</v>
      </c>
      <c r="N22" t="s">
        <v>231</v>
      </c>
      <c r="O22" t="s">
        <v>345</v>
      </c>
      <c r="P22" t="s">
        <v>232</v>
      </c>
      <c r="Q22" t="s">
        <v>232</v>
      </c>
      <c r="R22" t="s">
        <v>232</v>
      </c>
      <c r="S22">
        <v>10</v>
      </c>
      <c r="T22" t="s">
        <v>346</v>
      </c>
      <c r="U22">
        <v>45</v>
      </c>
      <c r="V22" t="s">
        <v>299</v>
      </c>
      <c r="W22">
        <v>300</v>
      </c>
      <c r="X22" t="s">
        <v>302</v>
      </c>
      <c r="Y22" t="s">
        <v>250</v>
      </c>
      <c r="Z22" t="s">
        <v>263</v>
      </c>
      <c r="AA22" t="s">
        <v>274</v>
      </c>
      <c r="AB22" t="s">
        <v>282</v>
      </c>
      <c r="AC22" t="s">
        <v>288</v>
      </c>
      <c r="AD22" t="s">
        <v>293</v>
      </c>
      <c r="AE22" t="s">
        <v>297</v>
      </c>
      <c r="AF22" t="s">
        <v>300</v>
      </c>
      <c r="AG22" t="s">
        <v>472</v>
      </c>
      <c r="AH22" t="s">
        <v>693</v>
      </c>
      <c r="AI22" t="s">
        <v>0</v>
      </c>
      <c r="AJ22" t="s">
        <v>532</v>
      </c>
      <c r="AM22" t="s">
        <v>475</v>
      </c>
      <c r="AN22">
        <v>8</v>
      </c>
      <c r="AO22" t="s">
        <v>809</v>
      </c>
      <c r="AP22" t="s">
        <v>251</v>
      </c>
      <c r="AQ22" t="s">
        <v>533</v>
      </c>
      <c r="AT22">
        <v>12</v>
      </c>
      <c r="AU22">
        <v>108.2</v>
      </c>
      <c r="AV22">
        <v>120.2</v>
      </c>
      <c r="AX22" t="s">
        <v>266</v>
      </c>
      <c r="AY22" t="s">
        <v>552</v>
      </c>
      <c r="AZ22" t="s">
        <v>267</v>
      </c>
      <c r="BA22" t="s">
        <v>295</v>
      </c>
      <c r="BB22" t="s">
        <v>256</v>
      </c>
      <c r="BC22">
        <v>8</v>
      </c>
      <c r="BD22">
        <v>8</v>
      </c>
      <c r="BF22" t="s">
        <v>234</v>
      </c>
      <c r="BG22" t="s">
        <v>570</v>
      </c>
      <c r="BH22" t="s">
        <v>308</v>
      </c>
      <c r="BI22">
        <v>8</v>
      </c>
      <c r="BJ22" t="s">
        <v>465</v>
      </c>
      <c r="BK22" t="s">
        <v>465</v>
      </c>
      <c r="BL22" t="s">
        <v>193</v>
      </c>
      <c r="BM22" t="s">
        <v>465</v>
      </c>
      <c r="BR22"/>
      <c r="BS22"/>
      <c r="BU22" s="5"/>
      <c r="BV22" s="5"/>
      <c r="BX22"/>
      <c r="CA22" s="3"/>
      <c r="CB22" t="s">
        <v>532</v>
      </c>
      <c r="CC22" t="s">
        <v>6</v>
      </c>
      <c r="CE22" t="s">
        <v>6</v>
      </c>
      <c r="CG22" t="s">
        <v>226</v>
      </c>
      <c r="CI22" t="s">
        <v>659</v>
      </c>
      <c r="CJ22" t="s">
        <v>659</v>
      </c>
      <c r="CK22" t="s">
        <v>659</v>
      </c>
      <c r="CL22" t="s">
        <v>659</v>
      </c>
      <c r="CM22" t="s">
        <v>659</v>
      </c>
      <c r="CN22" t="s">
        <v>659</v>
      </c>
      <c r="CO22" t="s">
        <v>659</v>
      </c>
      <c r="CP22" t="s">
        <v>659</v>
      </c>
      <c r="CR22" t="s">
        <v>659</v>
      </c>
      <c r="CS22" t="s">
        <v>659</v>
      </c>
      <c r="CT22" t="s">
        <v>285</v>
      </c>
      <c r="CU22" t="s">
        <v>285</v>
      </c>
      <c r="CW22" t="s">
        <v>764</v>
      </c>
      <c r="CX22" t="s">
        <v>755</v>
      </c>
      <c r="CY22" t="s">
        <v>241</v>
      </c>
      <c r="CZ22" t="s">
        <v>258</v>
      </c>
      <c r="DA22" t="s">
        <v>731</v>
      </c>
      <c r="DB22" t="s">
        <v>729</v>
      </c>
      <c r="DC22" t="s">
        <v>7</v>
      </c>
      <c r="DD22" t="s">
        <v>659</v>
      </c>
      <c r="DF22" t="s">
        <v>7</v>
      </c>
      <c r="DW22">
        <v>21</v>
      </c>
      <c r="DX22">
        <v>19</v>
      </c>
    </row>
    <row r="23" spans="1:128" x14ac:dyDescent="0.25">
      <c r="A23" t="s">
        <v>0</v>
      </c>
      <c r="B23" t="s">
        <v>479</v>
      </c>
      <c r="C23">
        <v>1</v>
      </c>
      <c r="D23" t="s">
        <v>788</v>
      </c>
      <c r="E23" t="s">
        <v>342</v>
      </c>
      <c r="F23" t="s">
        <v>340</v>
      </c>
      <c r="G23" t="s">
        <v>341</v>
      </c>
      <c r="H23" t="s">
        <v>343</v>
      </c>
      <c r="I23" t="s">
        <v>344</v>
      </c>
      <c r="J23" t="s">
        <v>246</v>
      </c>
      <c r="K23" t="s">
        <v>228</v>
      </c>
      <c r="L23" t="s">
        <v>229</v>
      </c>
      <c r="M23" t="s">
        <v>230</v>
      </c>
      <c r="N23" t="s">
        <v>231</v>
      </c>
      <c r="O23" t="s">
        <v>345</v>
      </c>
      <c r="P23" t="s">
        <v>232</v>
      </c>
      <c r="Q23" t="s">
        <v>232</v>
      </c>
      <c r="R23" t="s">
        <v>232</v>
      </c>
      <c r="S23">
        <v>10</v>
      </c>
      <c r="T23" t="s">
        <v>346</v>
      </c>
      <c r="U23">
        <v>45</v>
      </c>
      <c r="V23" t="s">
        <v>299</v>
      </c>
      <c r="W23">
        <v>300</v>
      </c>
      <c r="X23" t="s">
        <v>302</v>
      </c>
      <c r="Y23" t="s">
        <v>250</v>
      </c>
      <c r="Z23" t="s">
        <v>263</v>
      </c>
      <c r="AA23" t="s">
        <v>274</v>
      </c>
      <c r="AB23" t="s">
        <v>282</v>
      </c>
      <c r="AC23" t="s">
        <v>288</v>
      </c>
      <c r="AD23" t="s">
        <v>293</v>
      </c>
      <c r="AE23" t="s">
        <v>297</v>
      </c>
      <c r="AF23" t="s">
        <v>300</v>
      </c>
      <c r="AG23" t="s">
        <v>472</v>
      </c>
      <c r="AH23" t="s">
        <v>695</v>
      </c>
      <c r="AI23" t="s">
        <v>0</v>
      </c>
      <c r="AJ23" t="s">
        <v>534</v>
      </c>
      <c r="AM23" t="s">
        <v>475</v>
      </c>
      <c r="AN23">
        <v>9</v>
      </c>
      <c r="AO23" t="s">
        <v>810</v>
      </c>
      <c r="AP23" t="s">
        <v>251</v>
      </c>
      <c r="AQ23" t="s">
        <v>535</v>
      </c>
      <c r="AT23">
        <v>15</v>
      </c>
      <c r="AU23">
        <v>120.19999999999999</v>
      </c>
      <c r="AV23">
        <v>135.19999999999999</v>
      </c>
      <c r="AX23" t="s">
        <v>218</v>
      </c>
      <c r="AY23" t="s">
        <v>463</v>
      </c>
      <c r="AZ23" t="s">
        <v>219</v>
      </c>
      <c r="BA23" t="s">
        <v>220</v>
      </c>
      <c r="BB23" t="s">
        <v>269</v>
      </c>
      <c r="BC23">
        <v>9</v>
      </c>
      <c r="BD23">
        <v>9</v>
      </c>
      <c r="BF23" t="s">
        <v>234</v>
      </c>
      <c r="BG23" t="s">
        <v>570</v>
      </c>
      <c r="BH23" t="s">
        <v>308</v>
      </c>
      <c r="BI23">
        <v>9</v>
      </c>
      <c r="BJ23" t="s">
        <v>562</v>
      </c>
      <c r="BK23" t="s">
        <v>562</v>
      </c>
      <c r="BL23" t="s">
        <v>222</v>
      </c>
      <c r="BM23" t="s">
        <v>562</v>
      </c>
      <c r="BR23"/>
      <c r="BS23"/>
      <c r="BU23" s="5"/>
      <c r="BV23" s="5"/>
      <c r="BX23"/>
      <c r="CA23" s="3"/>
      <c r="CB23" t="s">
        <v>534</v>
      </c>
      <c r="CC23" t="s">
        <v>412</v>
      </c>
      <c r="CE23" t="s">
        <v>6</v>
      </c>
      <c r="CI23" t="s">
        <v>661</v>
      </c>
      <c r="CJ23" t="s">
        <v>661</v>
      </c>
      <c r="CK23" t="s">
        <v>661</v>
      </c>
      <c r="CL23" t="s">
        <v>661</v>
      </c>
      <c r="CM23" t="s">
        <v>661</v>
      </c>
      <c r="CN23" t="s">
        <v>661</v>
      </c>
      <c r="CO23" t="s">
        <v>661</v>
      </c>
      <c r="CP23" t="s">
        <v>661</v>
      </c>
      <c r="CR23" t="s">
        <v>661</v>
      </c>
      <c r="CS23" t="s">
        <v>661</v>
      </c>
      <c r="CT23" t="s">
        <v>279</v>
      </c>
      <c r="CU23" t="s">
        <v>279</v>
      </c>
      <c r="CV23" t="s">
        <v>7</v>
      </c>
      <c r="CW23" t="s">
        <v>765</v>
      </c>
      <c r="CX23" t="s">
        <v>756</v>
      </c>
      <c r="CY23" t="s">
        <v>7</v>
      </c>
      <c r="CZ23" t="s">
        <v>271</v>
      </c>
      <c r="DA23" t="s">
        <v>730</v>
      </c>
      <c r="DB23" t="s">
        <v>730</v>
      </c>
      <c r="DD23" t="s">
        <v>661</v>
      </c>
      <c r="DW23">
        <v>22</v>
      </c>
      <c r="DX23">
        <v>20</v>
      </c>
    </row>
    <row r="24" spans="1:128" x14ac:dyDescent="0.25">
      <c r="A24" t="s">
        <v>457</v>
      </c>
      <c r="B24" t="s">
        <v>479</v>
      </c>
      <c r="C24">
        <v>2</v>
      </c>
      <c r="D24" t="s">
        <v>778</v>
      </c>
      <c r="E24" t="s">
        <v>458</v>
      </c>
      <c r="F24" t="s">
        <v>340</v>
      </c>
      <c r="G24" t="s">
        <v>459</v>
      </c>
      <c r="H24" t="s">
        <v>452</v>
      </c>
      <c r="I24" t="s">
        <v>344</v>
      </c>
      <c r="J24" t="s">
        <v>286</v>
      </c>
      <c r="K24" t="s">
        <v>246</v>
      </c>
      <c r="L24" t="s">
        <v>247</v>
      </c>
      <c r="M24" t="s">
        <v>248</v>
      </c>
      <c r="N24">
        <v>0.3</v>
      </c>
      <c r="O24" t="s">
        <v>460</v>
      </c>
      <c r="P24" t="s">
        <v>232</v>
      </c>
      <c r="Q24" t="s">
        <v>232</v>
      </c>
      <c r="S24">
        <v>20</v>
      </c>
      <c r="T24" t="s">
        <v>461</v>
      </c>
      <c r="U24">
        <v>45</v>
      </c>
      <c r="V24" t="s">
        <v>255</v>
      </c>
      <c r="W24">
        <v>250</v>
      </c>
      <c r="X24" t="s">
        <v>263</v>
      </c>
      <c r="Y24" t="s">
        <v>274</v>
      </c>
      <c r="Z24" t="s">
        <v>293</v>
      </c>
      <c r="AA24" t="s">
        <v>462</v>
      </c>
      <c r="AH24" t="s">
        <v>702</v>
      </c>
      <c r="AI24" t="s">
        <v>457</v>
      </c>
      <c r="AK24" t="s">
        <v>521</v>
      </c>
      <c r="AM24" t="s">
        <v>475</v>
      </c>
      <c r="AN24">
        <v>1</v>
      </c>
      <c r="AO24" t="s">
        <v>811</v>
      </c>
      <c r="AP24" t="s">
        <v>192</v>
      </c>
      <c r="AQ24" t="s">
        <v>523</v>
      </c>
      <c r="AT24">
        <v>3</v>
      </c>
      <c r="AU24">
        <v>0</v>
      </c>
      <c r="AV24">
        <v>3</v>
      </c>
      <c r="AW24" t="s">
        <v>222</v>
      </c>
      <c r="AX24" t="s">
        <v>235</v>
      </c>
      <c r="AY24" t="s">
        <v>448</v>
      </c>
      <c r="AZ24" t="s">
        <v>236</v>
      </c>
      <c r="BA24" t="s">
        <v>237</v>
      </c>
      <c r="BB24" t="s">
        <v>278</v>
      </c>
      <c r="BC24">
        <v>10</v>
      </c>
      <c r="BD24">
        <v>10</v>
      </c>
      <c r="BG24" t="s">
        <v>307</v>
      </c>
      <c r="BH24" t="s">
        <v>408</v>
      </c>
      <c r="BI24">
        <v>10</v>
      </c>
      <c r="BJ24" t="s">
        <v>464</v>
      </c>
      <c r="BK24" t="s">
        <v>464</v>
      </c>
      <c r="BL24" t="s">
        <v>193</v>
      </c>
      <c r="BM24" t="s">
        <v>464</v>
      </c>
      <c r="BR24"/>
      <c r="BS24"/>
      <c r="BU24" s="5"/>
      <c r="BV24" s="5"/>
      <c r="BX24" t="s">
        <v>521</v>
      </c>
      <c r="BY24">
        <v>2</v>
      </c>
      <c r="BZ24" t="s">
        <v>314</v>
      </c>
      <c r="CA24" s="3">
        <v>3</v>
      </c>
      <c r="DW24">
        <v>23</v>
      </c>
      <c r="DX24">
        <v>21</v>
      </c>
    </row>
    <row r="25" spans="1:128" x14ac:dyDescent="0.25">
      <c r="A25" t="s">
        <v>457</v>
      </c>
      <c r="B25" t="s">
        <v>479</v>
      </c>
      <c r="C25">
        <v>2</v>
      </c>
      <c r="D25" t="s">
        <v>778</v>
      </c>
      <c r="E25" t="s">
        <v>458</v>
      </c>
      <c r="F25" t="s">
        <v>340</v>
      </c>
      <c r="G25" t="s">
        <v>459</v>
      </c>
      <c r="H25" t="s">
        <v>452</v>
      </c>
      <c r="I25" t="s">
        <v>344</v>
      </c>
      <c r="J25" t="s">
        <v>286</v>
      </c>
      <c r="K25" t="s">
        <v>246</v>
      </c>
      <c r="L25" t="s">
        <v>247</v>
      </c>
      <c r="M25" t="s">
        <v>248</v>
      </c>
      <c r="N25">
        <v>0.3</v>
      </c>
      <c r="O25" t="s">
        <v>460</v>
      </c>
      <c r="P25" t="s">
        <v>232</v>
      </c>
      <c r="Q25" t="s">
        <v>232</v>
      </c>
      <c r="S25">
        <v>20</v>
      </c>
      <c r="T25" t="s">
        <v>461</v>
      </c>
      <c r="U25">
        <v>45</v>
      </c>
      <c r="V25" t="s">
        <v>255</v>
      </c>
      <c r="W25">
        <v>250</v>
      </c>
      <c r="X25" t="s">
        <v>263</v>
      </c>
      <c r="Y25" t="s">
        <v>274</v>
      </c>
      <c r="Z25" t="s">
        <v>293</v>
      </c>
      <c r="AA25" t="s">
        <v>462</v>
      </c>
      <c r="AH25" t="s">
        <v>703</v>
      </c>
      <c r="AI25" t="s">
        <v>457</v>
      </c>
      <c r="AJ25" t="s">
        <v>524</v>
      </c>
      <c r="AK25" t="s">
        <v>522</v>
      </c>
      <c r="AM25" t="s">
        <v>475</v>
      </c>
      <c r="AN25">
        <v>2</v>
      </c>
      <c r="AO25" t="s">
        <v>811</v>
      </c>
      <c r="AP25" t="s">
        <v>192</v>
      </c>
      <c r="AQ25" t="s">
        <v>536</v>
      </c>
      <c r="AT25">
        <v>6</v>
      </c>
      <c r="AU25">
        <v>3</v>
      </c>
      <c r="AV25">
        <v>9</v>
      </c>
      <c r="AW25" t="s">
        <v>193</v>
      </c>
      <c r="BG25" t="s">
        <v>536</v>
      </c>
      <c r="BH25" t="s">
        <v>308</v>
      </c>
      <c r="BR25"/>
      <c r="BS25"/>
      <c r="BU25" s="5"/>
      <c r="BV25" s="5"/>
      <c r="BX25" t="s">
        <v>522</v>
      </c>
      <c r="BY25">
        <v>3</v>
      </c>
      <c r="BZ25" t="s">
        <v>8</v>
      </c>
      <c r="CA25" s="3">
        <v>5</v>
      </c>
      <c r="CB25" t="s">
        <v>524</v>
      </c>
      <c r="CC25" t="s">
        <v>412</v>
      </c>
      <c r="CE25" t="s">
        <v>437</v>
      </c>
      <c r="CF25" t="s">
        <v>226</v>
      </c>
      <c r="CI25" t="s">
        <v>639</v>
      </c>
      <c r="CJ25" t="s">
        <v>639</v>
      </c>
      <c r="CK25" t="s">
        <v>639</v>
      </c>
      <c r="CL25" t="s">
        <v>639</v>
      </c>
      <c r="CM25" t="s">
        <v>639</v>
      </c>
      <c r="CN25" t="s">
        <v>639</v>
      </c>
      <c r="CO25" t="s">
        <v>639</v>
      </c>
      <c r="CP25" t="s">
        <v>639</v>
      </c>
      <c r="CQ25" t="s">
        <v>409</v>
      </c>
      <c r="CR25" t="s">
        <v>639</v>
      </c>
      <c r="CS25" t="s">
        <v>639</v>
      </c>
      <c r="CT25" t="s">
        <v>240</v>
      </c>
      <c r="CU25" t="s">
        <v>240</v>
      </c>
      <c r="CV25" t="s">
        <v>7</v>
      </c>
      <c r="CW25" t="s">
        <v>751</v>
      </c>
      <c r="CX25" t="s">
        <v>746</v>
      </c>
      <c r="CY25" t="s">
        <v>241</v>
      </c>
      <c r="CZ25" t="s">
        <v>258</v>
      </c>
      <c r="DA25" t="s">
        <v>729</v>
      </c>
      <c r="DB25" t="s">
        <v>225</v>
      </c>
      <c r="DC25" t="s">
        <v>241</v>
      </c>
      <c r="DD25" t="s">
        <v>639</v>
      </c>
      <c r="DW25">
        <v>24</v>
      </c>
      <c r="DX25">
        <v>21</v>
      </c>
    </row>
    <row r="26" spans="1:128" x14ac:dyDescent="0.25">
      <c r="A26" t="s">
        <v>457</v>
      </c>
      <c r="B26" t="s">
        <v>479</v>
      </c>
      <c r="C26">
        <v>2</v>
      </c>
      <c r="D26" t="s">
        <v>778</v>
      </c>
      <c r="E26" t="s">
        <v>458</v>
      </c>
      <c r="F26" t="s">
        <v>340</v>
      </c>
      <c r="G26" t="s">
        <v>459</v>
      </c>
      <c r="H26" t="s">
        <v>452</v>
      </c>
      <c r="I26" t="s">
        <v>344</v>
      </c>
      <c r="J26" t="s">
        <v>286</v>
      </c>
      <c r="K26" t="s">
        <v>246</v>
      </c>
      <c r="L26" t="s">
        <v>247</v>
      </c>
      <c r="M26" t="s">
        <v>248</v>
      </c>
      <c r="N26">
        <v>0.3</v>
      </c>
      <c r="O26" t="s">
        <v>460</v>
      </c>
      <c r="P26" t="s">
        <v>232</v>
      </c>
      <c r="Q26" t="s">
        <v>232</v>
      </c>
      <c r="S26">
        <v>20</v>
      </c>
      <c r="T26" t="s">
        <v>461</v>
      </c>
      <c r="U26">
        <v>45</v>
      </c>
      <c r="V26" t="s">
        <v>255</v>
      </c>
      <c r="W26">
        <v>250</v>
      </c>
      <c r="X26" t="s">
        <v>263</v>
      </c>
      <c r="Y26" t="s">
        <v>274</v>
      </c>
      <c r="Z26" t="s">
        <v>293</v>
      </c>
      <c r="AA26" t="s">
        <v>462</v>
      </c>
      <c r="AH26" t="s">
        <v>701</v>
      </c>
      <c r="AI26" t="s">
        <v>457</v>
      </c>
      <c r="AM26" t="s">
        <v>475</v>
      </c>
      <c r="AN26">
        <v>3</v>
      </c>
      <c r="AO26" t="s">
        <v>812</v>
      </c>
      <c r="AP26" t="s">
        <v>233</v>
      </c>
      <c r="AQ26" t="s">
        <v>233</v>
      </c>
      <c r="AT26">
        <v>1</v>
      </c>
      <c r="AU26">
        <v>9</v>
      </c>
      <c r="AV26">
        <v>10</v>
      </c>
      <c r="BG26" t="s">
        <v>233</v>
      </c>
      <c r="BH26" t="s">
        <v>308</v>
      </c>
      <c r="BR26"/>
      <c r="BS26"/>
      <c r="BU26" s="5"/>
      <c r="BV26" s="5"/>
      <c r="BX26"/>
      <c r="CA26" s="3"/>
      <c r="DW26">
        <v>25</v>
      </c>
      <c r="DX26">
        <v>22</v>
      </c>
    </row>
    <row r="27" spans="1:128" x14ac:dyDescent="0.25">
      <c r="A27" t="s">
        <v>457</v>
      </c>
      <c r="B27" t="s">
        <v>479</v>
      </c>
      <c r="C27">
        <v>2</v>
      </c>
      <c r="D27" t="s">
        <v>778</v>
      </c>
      <c r="E27" t="s">
        <v>458</v>
      </c>
      <c r="F27" t="s">
        <v>340</v>
      </c>
      <c r="G27" t="s">
        <v>459</v>
      </c>
      <c r="H27" t="s">
        <v>452</v>
      </c>
      <c r="I27" t="s">
        <v>344</v>
      </c>
      <c r="J27" t="s">
        <v>286</v>
      </c>
      <c r="K27" t="s">
        <v>246</v>
      </c>
      <c r="L27" t="s">
        <v>247</v>
      </c>
      <c r="M27" t="s">
        <v>248</v>
      </c>
      <c r="N27">
        <v>0.3</v>
      </c>
      <c r="O27" t="s">
        <v>460</v>
      </c>
      <c r="P27" t="s">
        <v>232</v>
      </c>
      <c r="Q27" t="s">
        <v>232</v>
      </c>
      <c r="S27">
        <v>20</v>
      </c>
      <c r="T27" t="s">
        <v>461</v>
      </c>
      <c r="U27">
        <v>45</v>
      </c>
      <c r="V27" t="s">
        <v>255</v>
      </c>
      <c r="W27">
        <v>250</v>
      </c>
      <c r="X27" t="s">
        <v>263</v>
      </c>
      <c r="Y27" t="s">
        <v>274</v>
      </c>
      <c r="Z27" t="s">
        <v>293</v>
      </c>
      <c r="AA27" t="s">
        <v>462</v>
      </c>
      <c r="AH27" t="s">
        <v>699</v>
      </c>
      <c r="AI27" t="s">
        <v>457</v>
      </c>
      <c r="AM27" t="s">
        <v>475</v>
      </c>
      <c r="AN27">
        <v>4</v>
      </c>
      <c r="AO27" t="s">
        <v>813</v>
      </c>
      <c r="AP27" t="s">
        <v>264</v>
      </c>
      <c r="AQ27" t="s">
        <v>537</v>
      </c>
      <c r="AS27" t="s">
        <v>736</v>
      </c>
      <c r="AT27">
        <v>17</v>
      </c>
      <c r="AU27">
        <v>10</v>
      </c>
      <c r="AV27">
        <v>27</v>
      </c>
      <c r="BG27" t="s">
        <v>700</v>
      </c>
      <c r="BH27" t="s">
        <v>308</v>
      </c>
      <c r="BM27" t="s">
        <v>737</v>
      </c>
      <c r="BR27"/>
      <c r="BS27"/>
      <c r="BU27" s="5"/>
      <c r="BV27" s="5"/>
      <c r="BX27"/>
      <c r="CA27" s="3"/>
      <c r="DW27">
        <v>26</v>
      </c>
      <c r="DX27">
        <v>23</v>
      </c>
    </row>
    <row r="28" spans="1:128" x14ac:dyDescent="0.25">
      <c r="A28" t="s">
        <v>457</v>
      </c>
      <c r="B28" t="s">
        <v>479</v>
      </c>
      <c r="C28">
        <v>2</v>
      </c>
      <c r="D28" t="s">
        <v>778</v>
      </c>
      <c r="E28" t="s">
        <v>458</v>
      </c>
      <c r="F28" t="s">
        <v>340</v>
      </c>
      <c r="G28" t="s">
        <v>459</v>
      </c>
      <c r="H28" t="s">
        <v>452</v>
      </c>
      <c r="I28" t="s">
        <v>344</v>
      </c>
      <c r="J28" t="s">
        <v>286</v>
      </c>
      <c r="K28" t="s">
        <v>246</v>
      </c>
      <c r="L28" t="s">
        <v>247</v>
      </c>
      <c r="M28" t="s">
        <v>248</v>
      </c>
      <c r="N28">
        <v>0.3</v>
      </c>
      <c r="O28" t="s">
        <v>460</v>
      </c>
      <c r="P28" t="s">
        <v>232</v>
      </c>
      <c r="Q28" t="s">
        <v>232</v>
      </c>
      <c r="S28">
        <v>20</v>
      </c>
      <c r="T28" t="s">
        <v>461</v>
      </c>
      <c r="U28">
        <v>45</v>
      </c>
      <c r="V28" t="s">
        <v>255</v>
      </c>
      <c r="W28">
        <v>250</v>
      </c>
      <c r="X28" t="s">
        <v>263</v>
      </c>
      <c r="Y28" t="s">
        <v>274</v>
      </c>
      <c r="Z28" t="s">
        <v>293</v>
      </c>
      <c r="AA28" t="s">
        <v>462</v>
      </c>
      <c r="AH28" t="s">
        <v>704</v>
      </c>
      <c r="AI28" t="s">
        <v>457</v>
      </c>
      <c r="AJ28" t="s">
        <v>3</v>
      </c>
      <c r="AM28" t="s">
        <v>475</v>
      </c>
      <c r="AN28">
        <v>5</v>
      </c>
      <c r="AO28" t="s">
        <v>814</v>
      </c>
      <c r="AP28" t="s">
        <v>251</v>
      </c>
      <c r="AQ28" t="s">
        <v>530</v>
      </c>
      <c r="AT28">
        <v>6</v>
      </c>
      <c r="AU28">
        <v>27</v>
      </c>
      <c r="AV28">
        <v>33</v>
      </c>
      <c r="AX28" t="s">
        <v>253</v>
      </c>
      <c r="AY28" t="s">
        <v>551</v>
      </c>
      <c r="AZ28" t="s">
        <v>254</v>
      </c>
      <c r="BA28" t="s">
        <v>255</v>
      </c>
      <c r="BB28" t="s">
        <v>221</v>
      </c>
      <c r="BC28">
        <v>11</v>
      </c>
      <c r="BD28">
        <v>11</v>
      </c>
      <c r="BF28" t="s">
        <v>276</v>
      </c>
      <c r="BG28" t="s">
        <v>570</v>
      </c>
      <c r="BH28" t="s">
        <v>308</v>
      </c>
      <c r="BI28">
        <v>11</v>
      </c>
      <c r="BJ28" t="s">
        <v>465</v>
      </c>
      <c r="BK28" t="s">
        <v>465</v>
      </c>
      <c r="BL28" t="s">
        <v>222</v>
      </c>
      <c r="BM28" t="s">
        <v>465</v>
      </c>
      <c r="BR28"/>
      <c r="BS28"/>
      <c r="BU28" s="5"/>
      <c r="BV28" s="5"/>
      <c r="BX28"/>
      <c r="CA28" s="3"/>
      <c r="CB28" t="s">
        <v>3</v>
      </c>
      <c r="CC28" t="s">
        <v>239</v>
      </c>
      <c r="CE28" t="s">
        <v>239</v>
      </c>
      <c r="CF28" t="s">
        <v>244</v>
      </c>
      <c r="CI28" t="s">
        <v>467</v>
      </c>
      <c r="CJ28" t="s">
        <v>467</v>
      </c>
      <c r="CK28" t="s">
        <v>467</v>
      </c>
      <c r="CL28" t="s">
        <v>467</v>
      </c>
      <c r="CM28" t="s">
        <v>467</v>
      </c>
      <c r="CN28" t="s">
        <v>467</v>
      </c>
      <c r="CO28" t="s">
        <v>467</v>
      </c>
      <c r="CP28" t="s">
        <v>467</v>
      </c>
      <c r="CQ28" t="s">
        <v>408</v>
      </c>
      <c r="CR28" t="s">
        <v>467</v>
      </c>
      <c r="CS28" t="s">
        <v>467</v>
      </c>
      <c r="CT28" t="s">
        <v>223</v>
      </c>
      <c r="CU28" t="s">
        <v>223</v>
      </c>
      <c r="CV28" t="s">
        <v>241</v>
      </c>
      <c r="CW28" t="s">
        <v>774</v>
      </c>
      <c r="CX28" t="s">
        <v>745</v>
      </c>
      <c r="CY28" t="s">
        <v>7</v>
      </c>
      <c r="CZ28" t="s">
        <v>271</v>
      </c>
      <c r="DA28" t="s">
        <v>773</v>
      </c>
      <c r="DB28" t="s">
        <v>729</v>
      </c>
      <c r="DC28" t="s">
        <v>7</v>
      </c>
      <c r="DD28" t="s">
        <v>467</v>
      </c>
      <c r="DF28" t="s">
        <v>241</v>
      </c>
      <c r="DW28">
        <v>27</v>
      </c>
      <c r="DX28">
        <v>24</v>
      </c>
    </row>
    <row r="29" spans="1:128" x14ac:dyDescent="0.25">
      <c r="A29" t="s">
        <v>514</v>
      </c>
      <c r="B29" t="s">
        <v>479</v>
      </c>
      <c r="C29">
        <v>3</v>
      </c>
      <c r="D29" t="s">
        <v>779</v>
      </c>
      <c r="E29" t="s">
        <v>484</v>
      </c>
      <c r="F29" t="s">
        <v>340</v>
      </c>
      <c r="G29" t="s">
        <v>485</v>
      </c>
      <c r="H29" t="s">
        <v>486</v>
      </c>
      <c r="I29" t="s">
        <v>344</v>
      </c>
      <c r="J29" t="s">
        <v>280</v>
      </c>
      <c r="K29" t="s">
        <v>229</v>
      </c>
      <c r="L29" t="s">
        <v>246</v>
      </c>
      <c r="M29" t="s">
        <v>261</v>
      </c>
      <c r="N29" t="s">
        <v>738</v>
      </c>
      <c r="O29" t="s">
        <v>487</v>
      </c>
      <c r="P29" t="s">
        <v>232</v>
      </c>
      <c r="R29" t="s">
        <v>232</v>
      </c>
      <c r="S29">
        <v>30</v>
      </c>
      <c r="T29" t="s">
        <v>488</v>
      </c>
      <c r="U29">
        <v>45</v>
      </c>
      <c r="V29" t="s">
        <v>299</v>
      </c>
      <c r="W29">
        <v>100</v>
      </c>
      <c r="AH29" t="s">
        <v>707</v>
      </c>
      <c r="AI29" t="s">
        <v>514</v>
      </c>
      <c r="AJ29" t="s">
        <v>3</v>
      </c>
      <c r="AK29" t="s">
        <v>5</v>
      </c>
      <c r="AM29" t="s">
        <v>475</v>
      </c>
      <c r="AN29">
        <v>1</v>
      </c>
      <c r="AO29" t="s">
        <v>815</v>
      </c>
      <c r="AP29" t="s">
        <v>301</v>
      </c>
      <c r="AQ29" t="s">
        <v>264</v>
      </c>
      <c r="AT29">
        <v>4</v>
      </c>
      <c r="AU29">
        <v>0</v>
      </c>
      <c r="AV29">
        <v>4</v>
      </c>
      <c r="AX29" t="s">
        <v>266</v>
      </c>
      <c r="AY29" t="s">
        <v>552</v>
      </c>
      <c r="AZ29" t="s">
        <v>267</v>
      </c>
      <c r="BA29" t="s">
        <v>268</v>
      </c>
      <c r="BB29" t="s">
        <v>238</v>
      </c>
      <c r="BC29">
        <v>12</v>
      </c>
      <c r="BD29">
        <v>12</v>
      </c>
      <c r="BF29" t="s">
        <v>234</v>
      </c>
      <c r="BG29" t="s">
        <v>700</v>
      </c>
      <c r="BH29" t="s">
        <v>308</v>
      </c>
      <c r="BI29">
        <v>12</v>
      </c>
      <c r="BJ29" t="s">
        <v>562</v>
      </c>
      <c r="BK29" t="s">
        <v>562</v>
      </c>
      <c r="BL29" t="s">
        <v>193</v>
      </c>
      <c r="BM29" t="s">
        <v>562</v>
      </c>
      <c r="BR29"/>
      <c r="BS29"/>
      <c r="BU29" s="5"/>
      <c r="BV29" s="5"/>
      <c r="BX29" t="s">
        <v>5</v>
      </c>
      <c r="BY29">
        <v>1</v>
      </c>
      <c r="BZ29" t="s">
        <v>8</v>
      </c>
      <c r="CA29" s="3">
        <v>77</v>
      </c>
      <c r="CB29" t="s">
        <v>3</v>
      </c>
      <c r="CC29" t="s">
        <v>239</v>
      </c>
      <c r="CE29" t="s">
        <v>239</v>
      </c>
      <c r="CF29" t="s">
        <v>244</v>
      </c>
      <c r="CI29" t="s">
        <v>467</v>
      </c>
      <c r="CJ29" t="s">
        <v>467</v>
      </c>
      <c r="CK29" t="s">
        <v>467</v>
      </c>
      <c r="CL29" t="s">
        <v>467</v>
      </c>
      <c r="CM29" t="s">
        <v>467</v>
      </c>
      <c r="CN29" t="s">
        <v>467</v>
      </c>
      <c r="CO29" t="s">
        <v>467</v>
      </c>
      <c r="CP29" t="s">
        <v>467</v>
      </c>
      <c r="CQ29" t="s">
        <v>408</v>
      </c>
      <c r="CR29" t="s">
        <v>467</v>
      </c>
      <c r="CS29" t="s">
        <v>467</v>
      </c>
      <c r="CT29" t="s">
        <v>223</v>
      </c>
      <c r="CU29" t="s">
        <v>223</v>
      </c>
      <c r="CV29" t="s">
        <v>241</v>
      </c>
      <c r="CW29" t="s">
        <v>774</v>
      </c>
      <c r="CX29" t="s">
        <v>745</v>
      </c>
      <c r="CY29" t="s">
        <v>7</v>
      </c>
      <c r="CZ29" t="s">
        <v>271</v>
      </c>
      <c r="DA29" t="s">
        <v>773</v>
      </c>
      <c r="DB29" t="s">
        <v>729</v>
      </c>
      <c r="DC29" t="s">
        <v>7</v>
      </c>
      <c r="DD29" t="s">
        <v>467</v>
      </c>
      <c r="DF29" t="s">
        <v>241</v>
      </c>
      <c r="DW29">
        <v>28</v>
      </c>
      <c r="DX29">
        <v>25</v>
      </c>
    </row>
    <row r="30" spans="1:128" x14ac:dyDescent="0.25">
      <c r="A30" t="s">
        <v>514</v>
      </c>
      <c r="B30" t="s">
        <v>479</v>
      </c>
      <c r="C30">
        <v>3</v>
      </c>
      <c r="D30" t="s">
        <v>779</v>
      </c>
      <c r="E30" t="s">
        <v>484</v>
      </c>
      <c r="F30" t="s">
        <v>340</v>
      </c>
      <c r="G30" t="s">
        <v>485</v>
      </c>
      <c r="H30" t="s">
        <v>486</v>
      </c>
      <c r="I30" t="s">
        <v>344</v>
      </c>
      <c r="J30" t="s">
        <v>280</v>
      </c>
      <c r="K30" t="s">
        <v>229</v>
      </c>
      <c r="L30" t="s">
        <v>246</v>
      </c>
      <c r="M30" t="s">
        <v>261</v>
      </c>
      <c r="N30" t="s">
        <v>738</v>
      </c>
      <c r="O30" t="s">
        <v>487</v>
      </c>
      <c r="P30" t="s">
        <v>232</v>
      </c>
      <c r="R30" t="s">
        <v>232</v>
      </c>
      <c r="S30">
        <v>30</v>
      </c>
      <c r="T30" t="s">
        <v>488</v>
      </c>
      <c r="U30">
        <v>45</v>
      </c>
      <c r="V30" t="s">
        <v>299</v>
      </c>
      <c r="W30">
        <v>100</v>
      </c>
      <c r="AH30" t="s">
        <v>709</v>
      </c>
      <c r="AI30" t="s">
        <v>514</v>
      </c>
      <c r="AJ30" t="s">
        <v>526</v>
      </c>
      <c r="AM30" t="s">
        <v>475</v>
      </c>
      <c r="AN30">
        <v>2</v>
      </c>
      <c r="AO30" t="s">
        <v>816</v>
      </c>
      <c r="AP30" t="s">
        <v>264</v>
      </c>
      <c r="AQ30" t="s">
        <v>537</v>
      </c>
      <c r="AT30">
        <v>2</v>
      </c>
      <c r="AU30">
        <v>4</v>
      </c>
      <c r="AV30">
        <v>6</v>
      </c>
      <c r="BG30" t="s">
        <v>700</v>
      </c>
      <c r="BH30" t="s">
        <v>308</v>
      </c>
      <c r="BR30"/>
      <c r="BS30"/>
      <c r="BU30" s="5"/>
      <c r="BV30" s="5"/>
      <c r="BX30"/>
      <c r="CA30" s="3"/>
      <c r="CB30" t="s">
        <v>526</v>
      </c>
      <c r="CC30" t="s">
        <v>437</v>
      </c>
      <c r="CE30" t="s">
        <v>239</v>
      </c>
      <c r="CF30" t="s">
        <v>226</v>
      </c>
      <c r="CG30" t="s">
        <v>226</v>
      </c>
      <c r="CI30" t="s">
        <v>641</v>
      </c>
      <c r="CJ30" t="s">
        <v>641</v>
      </c>
      <c r="CK30" t="s">
        <v>641</v>
      </c>
      <c r="CL30" t="s">
        <v>641</v>
      </c>
      <c r="CM30" t="s">
        <v>641</v>
      </c>
      <c r="CN30" t="s">
        <v>641</v>
      </c>
      <c r="CO30" t="s">
        <v>641</v>
      </c>
      <c r="CP30" t="s">
        <v>641</v>
      </c>
      <c r="CQ30" t="s">
        <v>408</v>
      </c>
      <c r="CR30" t="s">
        <v>641</v>
      </c>
      <c r="CS30" t="s">
        <v>641</v>
      </c>
      <c r="CT30" t="s">
        <v>257</v>
      </c>
      <c r="CU30" t="s">
        <v>257</v>
      </c>
      <c r="CV30" t="s">
        <v>241</v>
      </c>
      <c r="CW30" t="s">
        <v>761</v>
      </c>
      <c r="CX30" t="s">
        <v>752</v>
      </c>
      <c r="CY30" t="s">
        <v>7</v>
      </c>
      <c r="CZ30" t="s">
        <v>242</v>
      </c>
      <c r="DA30" t="s">
        <v>730</v>
      </c>
      <c r="DC30" t="s">
        <v>7</v>
      </c>
      <c r="DD30" t="s">
        <v>641</v>
      </c>
      <c r="DW30">
        <v>29</v>
      </c>
      <c r="DX30">
        <v>26</v>
      </c>
    </row>
    <row r="31" spans="1:128" x14ac:dyDescent="0.25">
      <c r="A31" t="s">
        <v>514</v>
      </c>
      <c r="B31" t="s">
        <v>479</v>
      </c>
      <c r="C31">
        <v>3</v>
      </c>
      <c r="D31" t="s">
        <v>779</v>
      </c>
      <c r="E31" t="s">
        <v>484</v>
      </c>
      <c r="F31" t="s">
        <v>340</v>
      </c>
      <c r="G31" t="s">
        <v>485</v>
      </c>
      <c r="H31" t="s">
        <v>486</v>
      </c>
      <c r="I31" t="s">
        <v>344</v>
      </c>
      <c r="J31" t="s">
        <v>280</v>
      </c>
      <c r="K31" t="s">
        <v>229</v>
      </c>
      <c r="L31" t="s">
        <v>246</v>
      </c>
      <c r="M31" t="s">
        <v>261</v>
      </c>
      <c r="N31" t="s">
        <v>738</v>
      </c>
      <c r="O31" t="s">
        <v>487</v>
      </c>
      <c r="P31" t="s">
        <v>232</v>
      </c>
      <c r="R31" t="s">
        <v>232</v>
      </c>
      <c r="S31">
        <v>30</v>
      </c>
      <c r="T31" t="s">
        <v>488</v>
      </c>
      <c r="U31">
        <v>45</v>
      </c>
      <c r="V31" t="s">
        <v>299</v>
      </c>
      <c r="W31">
        <v>100</v>
      </c>
      <c r="AH31" t="s">
        <v>706</v>
      </c>
      <c r="AI31" t="s">
        <v>514</v>
      </c>
      <c r="AJ31" t="s">
        <v>529</v>
      </c>
      <c r="AM31" t="s">
        <v>475</v>
      </c>
      <c r="AN31">
        <v>3</v>
      </c>
      <c r="AO31" t="s">
        <v>817</v>
      </c>
      <c r="AP31" t="s">
        <v>264</v>
      </c>
      <c r="AQ31" t="s">
        <v>537</v>
      </c>
      <c r="AT31">
        <v>10</v>
      </c>
      <c r="AU31">
        <v>6</v>
      </c>
      <c r="AV31">
        <v>16</v>
      </c>
      <c r="BG31" t="s">
        <v>700</v>
      </c>
      <c r="BH31" t="s">
        <v>308</v>
      </c>
      <c r="BR31"/>
      <c r="BS31"/>
      <c r="BU31" s="5"/>
      <c r="BV31" s="5"/>
      <c r="BX31"/>
      <c r="CA31" s="3"/>
      <c r="CB31" t="s">
        <v>529</v>
      </c>
      <c r="CC31" t="s">
        <v>6</v>
      </c>
      <c r="CD31" t="s">
        <v>178</v>
      </c>
      <c r="CE31" t="s">
        <v>6</v>
      </c>
      <c r="CF31" t="s">
        <v>244</v>
      </c>
      <c r="CI31" t="s">
        <v>647</v>
      </c>
      <c r="CJ31" t="s">
        <v>647</v>
      </c>
      <c r="CK31" t="s">
        <v>647</v>
      </c>
      <c r="CL31" t="s">
        <v>647</v>
      </c>
      <c r="CM31" t="s">
        <v>647</v>
      </c>
      <c r="CN31" t="s">
        <v>647</v>
      </c>
      <c r="CO31" t="s">
        <v>647</v>
      </c>
      <c r="CP31" t="s">
        <v>647</v>
      </c>
      <c r="CQ31" t="s">
        <v>409</v>
      </c>
      <c r="CR31" t="s">
        <v>647</v>
      </c>
      <c r="CS31" t="s">
        <v>647</v>
      </c>
      <c r="CT31" t="s">
        <v>270</v>
      </c>
      <c r="CU31" t="s">
        <v>270</v>
      </c>
      <c r="CW31" t="s">
        <v>762</v>
      </c>
      <c r="CX31" t="s">
        <v>753</v>
      </c>
      <c r="CY31" t="s">
        <v>241</v>
      </c>
      <c r="CZ31" t="s">
        <v>224</v>
      </c>
      <c r="DA31" t="s">
        <v>731</v>
      </c>
      <c r="DB31" t="s">
        <v>730</v>
      </c>
      <c r="DC31" t="s">
        <v>241</v>
      </c>
      <c r="DD31" t="s">
        <v>647</v>
      </c>
      <c r="DW31">
        <v>30</v>
      </c>
      <c r="DX31">
        <v>27</v>
      </c>
    </row>
    <row r="32" spans="1:128" x14ac:dyDescent="0.25">
      <c r="A32" t="s">
        <v>514</v>
      </c>
      <c r="B32" t="s">
        <v>479</v>
      </c>
      <c r="C32">
        <v>3</v>
      </c>
      <c r="D32" t="s">
        <v>779</v>
      </c>
      <c r="E32" t="s">
        <v>484</v>
      </c>
      <c r="F32" t="s">
        <v>340</v>
      </c>
      <c r="G32" t="s">
        <v>485</v>
      </c>
      <c r="H32" t="s">
        <v>486</v>
      </c>
      <c r="I32" t="s">
        <v>344</v>
      </c>
      <c r="J32" t="s">
        <v>280</v>
      </c>
      <c r="K32" t="s">
        <v>229</v>
      </c>
      <c r="L32" t="s">
        <v>246</v>
      </c>
      <c r="M32" t="s">
        <v>261</v>
      </c>
      <c r="N32" t="s">
        <v>738</v>
      </c>
      <c r="O32" t="s">
        <v>487</v>
      </c>
      <c r="P32" t="s">
        <v>232</v>
      </c>
      <c r="R32" t="s">
        <v>232</v>
      </c>
      <c r="S32">
        <v>30</v>
      </c>
      <c r="T32" t="s">
        <v>488</v>
      </c>
      <c r="U32">
        <v>45</v>
      </c>
      <c r="V32" t="s">
        <v>299</v>
      </c>
      <c r="W32">
        <v>100</v>
      </c>
      <c r="AH32" t="s">
        <v>705</v>
      </c>
      <c r="AI32" t="s">
        <v>514</v>
      </c>
      <c r="AM32" t="s">
        <v>475</v>
      </c>
      <c r="AN32">
        <v>4</v>
      </c>
      <c r="AO32" t="s">
        <v>818</v>
      </c>
      <c r="AP32" t="s">
        <v>192</v>
      </c>
      <c r="AQ32" t="s">
        <v>538</v>
      </c>
      <c r="AT32">
        <v>5</v>
      </c>
      <c r="AU32">
        <v>16</v>
      </c>
      <c r="AV32">
        <v>21</v>
      </c>
      <c r="BG32" t="s">
        <v>538</v>
      </c>
      <c r="BH32" t="s">
        <v>308</v>
      </c>
      <c r="BR32"/>
      <c r="BS32"/>
      <c r="BU32" s="5"/>
      <c r="BV32" s="5"/>
      <c r="BX32"/>
      <c r="CA32" s="3"/>
      <c r="DW32">
        <v>31</v>
      </c>
      <c r="DX32">
        <v>28</v>
      </c>
    </row>
    <row r="33" spans="1:128" x14ac:dyDescent="0.25">
      <c r="A33" t="s">
        <v>514</v>
      </c>
      <c r="B33" t="s">
        <v>479</v>
      </c>
      <c r="C33">
        <v>3</v>
      </c>
      <c r="D33" t="s">
        <v>779</v>
      </c>
      <c r="E33" t="s">
        <v>484</v>
      </c>
      <c r="F33" t="s">
        <v>340</v>
      </c>
      <c r="G33" t="s">
        <v>485</v>
      </c>
      <c r="H33" t="s">
        <v>486</v>
      </c>
      <c r="I33" t="s">
        <v>344</v>
      </c>
      <c r="J33" t="s">
        <v>280</v>
      </c>
      <c r="K33" t="s">
        <v>229</v>
      </c>
      <c r="L33" t="s">
        <v>246</v>
      </c>
      <c r="M33" t="s">
        <v>261</v>
      </c>
      <c r="N33" t="s">
        <v>738</v>
      </c>
      <c r="O33" t="s">
        <v>487</v>
      </c>
      <c r="P33" t="s">
        <v>232</v>
      </c>
      <c r="R33" t="s">
        <v>232</v>
      </c>
      <c r="S33">
        <v>30</v>
      </c>
      <c r="T33" t="s">
        <v>488</v>
      </c>
      <c r="U33">
        <v>45</v>
      </c>
      <c r="V33" t="s">
        <v>299</v>
      </c>
      <c r="W33">
        <v>100</v>
      </c>
      <c r="AH33" t="s">
        <v>708</v>
      </c>
      <c r="AI33" t="s">
        <v>514</v>
      </c>
      <c r="AM33" t="s">
        <v>475</v>
      </c>
      <c r="AN33">
        <v>5</v>
      </c>
      <c r="AO33" t="s">
        <v>819</v>
      </c>
      <c r="AP33" t="s">
        <v>251</v>
      </c>
      <c r="AQ33" t="s">
        <v>539</v>
      </c>
      <c r="AR33" t="s">
        <v>540</v>
      </c>
      <c r="AT33">
        <v>150</v>
      </c>
      <c r="AU33">
        <v>21</v>
      </c>
      <c r="AV33">
        <v>171</v>
      </c>
      <c r="BG33" t="s">
        <v>570</v>
      </c>
      <c r="BH33" t="s">
        <v>308</v>
      </c>
      <c r="BR33"/>
      <c r="BS33"/>
      <c r="BU33" s="5"/>
      <c r="BV33" s="5"/>
      <c r="BX33"/>
      <c r="CA33" s="3"/>
      <c r="DW33">
        <v>32</v>
      </c>
      <c r="DX33">
        <v>29</v>
      </c>
    </row>
    <row r="34" spans="1:128" x14ac:dyDescent="0.25">
      <c r="A34" t="s">
        <v>515</v>
      </c>
      <c r="B34" t="s">
        <v>479</v>
      </c>
      <c r="C34">
        <v>4</v>
      </c>
      <c r="D34" t="s">
        <v>780</v>
      </c>
      <c r="E34" t="s">
        <v>489</v>
      </c>
      <c r="F34" t="s">
        <v>340</v>
      </c>
      <c r="G34" t="s">
        <v>490</v>
      </c>
      <c r="H34" t="s">
        <v>491</v>
      </c>
      <c r="I34" t="s">
        <v>344</v>
      </c>
      <c r="J34" t="s">
        <v>272</v>
      </c>
      <c r="L34" t="s">
        <v>246</v>
      </c>
      <c r="M34" t="s">
        <v>230</v>
      </c>
      <c r="N34">
        <v>1.8</v>
      </c>
      <c r="O34" t="s">
        <v>492</v>
      </c>
      <c r="Q34" t="s">
        <v>232</v>
      </c>
      <c r="S34">
        <v>40</v>
      </c>
      <c r="T34" t="s">
        <v>493</v>
      </c>
      <c r="U34">
        <v>45</v>
      </c>
      <c r="V34" t="s">
        <v>255</v>
      </c>
      <c r="W34">
        <v>100</v>
      </c>
      <c r="X34" t="s">
        <v>462</v>
      </c>
      <c r="AH34" t="s">
        <v>711</v>
      </c>
      <c r="AI34" t="s">
        <v>515</v>
      </c>
      <c r="AJ34" t="s">
        <v>524</v>
      </c>
      <c r="AK34" t="s">
        <v>521</v>
      </c>
      <c r="AM34" t="s">
        <v>475</v>
      </c>
      <c r="AN34">
        <v>1</v>
      </c>
      <c r="AO34" t="s">
        <v>820</v>
      </c>
      <c r="AP34" t="s">
        <v>301</v>
      </c>
      <c r="AQ34" t="s">
        <v>530</v>
      </c>
      <c r="AT34">
        <v>3</v>
      </c>
      <c r="AU34">
        <v>0</v>
      </c>
      <c r="AV34">
        <v>3</v>
      </c>
      <c r="AX34" t="s">
        <v>218</v>
      </c>
      <c r="AY34" t="s">
        <v>463</v>
      </c>
      <c r="AZ34" t="s">
        <v>219</v>
      </c>
      <c r="BA34" t="s">
        <v>277</v>
      </c>
      <c r="BB34" t="s">
        <v>256</v>
      </c>
      <c r="BC34">
        <v>13</v>
      </c>
      <c r="BD34">
        <v>13</v>
      </c>
      <c r="BF34" t="s">
        <v>276</v>
      </c>
      <c r="BG34" t="s">
        <v>530</v>
      </c>
      <c r="BH34" t="s">
        <v>308</v>
      </c>
      <c r="BI34">
        <v>13</v>
      </c>
      <c r="BJ34" t="s">
        <v>464</v>
      </c>
      <c r="BK34" t="s">
        <v>464</v>
      </c>
      <c r="BL34" t="s">
        <v>222</v>
      </c>
      <c r="BM34" t="s">
        <v>464</v>
      </c>
      <c r="BR34"/>
      <c r="BS34"/>
      <c r="BU34" s="5"/>
      <c r="BV34" s="5"/>
      <c r="BX34" t="s">
        <v>521</v>
      </c>
      <c r="BY34">
        <v>2</v>
      </c>
      <c r="BZ34" t="s">
        <v>314</v>
      </c>
      <c r="CA34" s="3">
        <v>3</v>
      </c>
      <c r="CB34" t="s">
        <v>524</v>
      </c>
      <c r="CC34" t="s">
        <v>412</v>
      </c>
      <c r="CE34" t="s">
        <v>437</v>
      </c>
      <c r="CF34" t="s">
        <v>226</v>
      </c>
      <c r="CI34" t="s">
        <v>639</v>
      </c>
      <c r="CJ34" t="s">
        <v>639</v>
      </c>
      <c r="CK34" t="s">
        <v>639</v>
      </c>
      <c r="CL34" t="s">
        <v>639</v>
      </c>
      <c r="CM34" t="s">
        <v>639</v>
      </c>
      <c r="CN34" t="s">
        <v>639</v>
      </c>
      <c r="CO34" t="s">
        <v>639</v>
      </c>
      <c r="CP34" t="s">
        <v>639</v>
      </c>
      <c r="CQ34" t="s">
        <v>409</v>
      </c>
      <c r="CR34" t="s">
        <v>639</v>
      </c>
      <c r="CS34" t="s">
        <v>639</v>
      </c>
      <c r="CT34" t="s">
        <v>240</v>
      </c>
      <c r="CU34" t="s">
        <v>240</v>
      </c>
      <c r="CV34" t="s">
        <v>7</v>
      </c>
      <c r="CW34" t="s">
        <v>751</v>
      </c>
      <c r="CX34" t="s">
        <v>746</v>
      </c>
      <c r="CY34" t="s">
        <v>241</v>
      </c>
      <c r="CZ34" t="s">
        <v>258</v>
      </c>
      <c r="DA34" t="s">
        <v>729</v>
      </c>
      <c r="DB34" t="s">
        <v>225</v>
      </c>
      <c r="DC34" t="s">
        <v>241</v>
      </c>
      <c r="DD34" t="s">
        <v>639</v>
      </c>
      <c r="DW34">
        <v>33</v>
      </c>
      <c r="DX34">
        <v>30</v>
      </c>
    </row>
    <row r="35" spans="1:128" x14ac:dyDescent="0.25">
      <c r="A35" t="s">
        <v>515</v>
      </c>
      <c r="B35" t="s">
        <v>479</v>
      </c>
      <c r="C35">
        <v>4</v>
      </c>
      <c r="D35" t="s">
        <v>780</v>
      </c>
      <c r="E35" t="s">
        <v>489</v>
      </c>
      <c r="F35" t="s">
        <v>340</v>
      </c>
      <c r="G35" t="s">
        <v>490</v>
      </c>
      <c r="H35" t="s">
        <v>491</v>
      </c>
      <c r="I35" t="s">
        <v>344</v>
      </c>
      <c r="J35" t="s">
        <v>272</v>
      </c>
      <c r="L35" t="s">
        <v>246</v>
      </c>
      <c r="M35" t="s">
        <v>230</v>
      </c>
      <c r="N35">
        <v>1.8</v>
      </c>
      <c r="O35" t="s">
        <v>492</v>
      </c>
      <c r="Q35" t="s">
        <v>232</v>
      </c>
      <c r="S35">
        <v>40</v>
      </c>
      <c r="T35" t="s">
        <v>493</v>
      </c>
      <c r="U35">
        <v>45</v>
      </c>
      <c r="V35" t="s">
        <v>255</v>
      </c>
      <c r="W35">
        <v>100</v>
      </c>
      <c r="X35" t="s">
        <v>462</v>
      </c>
      <c r="AH35" t="s">
        <v>712</v>
      </c>
      <c r="AI35" t="s">
        <v>515</v>
      </c>
      <c r="AJ35" t="s">
        <v>524</v>
      </c>
      <c r="AM35" t="s">
        <v>475</v>
      </c>
      <c r="AN35">
        <v>2</v>
      </c>
      <c r="AO35" t="s">
        <v>821</v>
      </c>
      <c r="AP35" t="s">
        <v>301</v>
      </c>
      <c r="AQ35" t="s">
        <v>530</v>
      </c>
      <c r="AT35">
        <v>1</v>
      </c>
      <c r="AU35">
        <v>3</v>
      </c>
      <c r="AV35">
        <v>4</v>
      </c>
      <c r="AX35" t="s">
        <v>235</v>
      </c>
      <c r="AY35" t="s">
        <v>448</v>
      </c>
      <c r="AZ35" t="s">
        <v>236</v>
      </c>
      <c r="BA35" t="s">
        <v>284</v>
      </c>
      <c r="BB35" t="s">
        <v>269</v>
      </c>
      <c r="BC35">
        <v>14</v>
      </c>
      <c r="BD35">
        <v>14</v>
      </c>
      <c r="BG35" t="s">
        <v>530</v>
      </c>
      <c r="BH35" t="s">
        <v>308</v>
      </c>
      <c r="BI35">
        <v>14</v>
      </c>
      <c r="BJ35" t="s">
        <v>465</v>
      </c>
      <c r="BK35" t="s">
        <v>465</v>
      </c>
      <c r="BL35" t="s">
        <v>193</v>
      </c>
      <c r="BM35" t="s">
        <v>465</v>
      </c>
      <c r="BR35"/>
      <c r="BS35"/>
      <c r="BU35" s="5"/>
      <c r="BV35" s="5"/>
      <c r="BX35"/>
      <c r="CA35" s="3"/>
      <c r="CB35" t="s">
        <v>524</v>
      </c>
      <c r="CC35" t="s">
        <v>412</v>
      </c>
      <c r="CE35" t="s">
        <v>437</v>
      </c>
      <c r="CF35" t="s">
        <v>226</v>
      </c>
      <c r="CI35" t="s">
        <v>639</v>
      </c>
      <c r="CJ35" t="s">
        <v>639</v>
      </c>
      <c r="CK35" t="s">
        <v>639</v>
      </c>
      <c r="CL35" t="s">
        <v>639</v>
      </c>
      <c r="CM35" t="s">
        <v>639</v>
      </c>
      <c r="CN35" t="s">
        <v>639</v>
      </c>
      <c r="CO35" t="s">
        <v>639</v>
      </c>
      <c r="CP35" t="s">
        <v>639</v>
      </c>
      <c r="CQ35" t="s">
        <v>409</v>
      </c>
      <c r="CR35" t="s">
        <v>639</v>
      </c>
      <c r="CS35" t="s">
        <v>639</v>
      </c>
      <c r="CT35" t="s">
        <v>240</v>
      </c>
      <c r="CU35" t="s">
        <v>240</v>
      </c>
      <c r="CV35" t="s">
        <v>7</v>
      </c>
      <c r="CW35" t="s">
        <v>751</v>
      </c>
      <c r="CX35" t="s">
        <v>746</v>
      </c>
      <c r="CY35" t="s">
        <v>241</v>
      </c>
      <c r="CZ35" t="s">
        <v>258</v>
      </c>
      <c r="DA35" t="s">
        <v>729</v>
      </c>
      <c r="DB35" t="s">
        <v>225</v>
      </c>
      <c r="DC35" t="s">
        <v>241</v>
      </c>
      <c r="DD35" t="s">
        <v>639</v>
      </c>
      <c r="DW35">
        <v>34</v>
      </c>
      <c r="DX35">
        <v>31</v>
      </c>
    </row>
    <row r="36" spans="1:128" x14ac:dyDescent="0.25">
      <c r="A36" t="s">
        <v>515</v>
      </c>
      <c r="B36" t="s">
        <v>479</v>
      </c>
      <c r="C36">
        <v>4</v>
      </c>
      <c r="D36" t="s">
        <v>780</v>
      </c>
      <c r="E36" t="s">
        <v>489</v>
      </c>
      <c r="F36" t="s">
        <v>340</v>
      </c>
      <c r="G36" t="s">
        <v>490</v>
      </c>
      <c r="H36" t="s">
        <v>491</v>
      </c>
      <c r="I36" t="s">
        <v>344</v>
      </c>
      <c r="J36" t="s">
        <v>272</v>
      </c>
      <c r="L36" t="s">
        <v>246</v>
      </c>
      <c r="M36" t="s">
        <v>230</v>
      </c>
      <c r="N36">
        <v>1.8</v>
      </c>
      <c r="O36" t="s">
        <v>492</v>
      </c>
      <c r="Q36" t="s">
        <v>232</v>
      </c>
      <c r="S36">
        <v>40</v>
      </c>
      <c r="T36" t="s">
        <v>493</v>
      </c>
      <c r="U36">
        <v>45</v>
      </c>
      <c r="V36" t="s">
        <v>255</v>
      </c>
      <c r="W36">
        <v>100</v>
      </c>
      <c r="X36" t="s">
        <v>462</v>
      </c>
      <c r="AH36" t="s">
        <v>710</v>
      </c>
      <c r="AI36" t="s">
        <v>515</v>
      </c>
      <c r="AJ36" t="s">
        <v>526</v>
      </c>
      <c r="AM36" t="s">
        <v>475</v>
      </c>
      <c r="AN36">
        <v>3</v>
      </c>
      <c r="AO36" t="s">
        <v>822</v>
      </c>
      <c r="AP36" t="s">
        <v>294</v>
      </c>
      <c r="AQ36" t="s">
        <v>541</v>
      </c>
      <c r="AT36">
        <v>12</v>
      </c>
      <c r="AU36">
        <v>4</v>
      </c>
      <c r="AV36">
        <v>16</v>
      </c>
      <c r="BG36" t="s">
        <v>541</v>
      </c>
      <c r="BH36" t="s">
        <v>308</v>
      </c>
      <c r="BR36"/>
      <c r="BS36"/>
      <c r="BU36" s="5"/>
      <c r="BV36" s="5"/>
      <c r="BX36"/>
      <c r="CA36" s="3"/>
      <c r="CB36" t="s">
        <v>526</v>
      </c>
      <c r="CC36" t="s">
        <v>437</v>
      </c>
      <c r="CE36" t="s">
        <v>239</v>
      </c>
      <c r="CF36" t="s">
        <v>226</v>
      </c>
      <c r="CG36" t="s">
        <v>226</v>
      </c>
      <c r="CI36" t="s">
        <v>641</v>
      </c>
      <c r="CJ36" t="s">
        <v>641</v>
      </c>
      <c r="CK36" t="s">
        <v>641</v>
      </c>
      <c r="CL36" t="s">
        <v>641</v>
      </c>
      <c r="CM36" t="s">
        <v>641</v>
      </c>
      <c r="CN36" t="s">
        <v>641</v>
      </c>
      <c r="CO36" t="s">
        <v>641</v>
      </c>
      <c r="CP36" t="s">
        <v>641</v>
      </c>
      <c r="CQ36" t="s">
        <v>408</v>
      </c>
      <c r="CR36" t="s">
        <v>641</v>
      </c>
      <c r="CS36" t="s">
        <v>641</v>
      </c>
      <c r="CT36" t="s">
        <v>257</v>
      </c>
      <c r="CU36" t="s">
        <v>257</v>
      </c>
      <c r="CV36" t="s">
        <v>241</v>
      </c>
      <c r="CW36" t="s">
        <v>761</v>
      </c>
      <c r="CX36" t="s">
        <v>752</v>
      </c>
      <c r="CY36" t="s">
        <v>7</v>
      </c>
      <c r="CZ36" t="s">
        <v>242</v>
      </c>
      <c r="DA36" t="s">
        <v>730</v>
      </c>
      <c r="DC36" t="s">
        <v>7</v>
      </c>
      <c r="DD36" t="s">
        <v>641</v>
      </c>
      <c r="DW36">
        <v>35</v>
      </c>
      <c r="DX36">
        <v>32</v>
      </c>
    </row>
    <row r="37" spans="1:128" x14ac:dyDescent="0.25">
      <c r="A37" t="s">
        <v>516</v>
      </c>
      <c r="B37" t="s">
        <v>479</v>
      </c>
      <c r="C37">
        <v>5</v>
      </c>
      <c r="D37" t="s">
        <v>781</v>
      </c>
      <c r="E37" t="s">
        <v>494</v>
      </c>
      <c r="F37" t="s">
        <v>340</v>
      </c>
      <c r="G37" t="s">
        <v>495</v>
      </c>
      <c r="H37" t="s">
        <v>496</v>
      </c>
      <c r="I37" t="s">
        <v>344</v>
      </c>
      <c r="J37" t="s">
        <v>245</v>
      </c>
      <c r="K37" t="s">
        <v>229</v>
      </c>
      <c r="L37" t="s">
        <v>246</v>
      </c>
      <c r="M37" t="s">
        <v>248</v>
      </c>
      <c r="N37">
        <v>3.2</v>
      </c>
      <c r="O37" t="s">
        <v>497</v>
      </c>
      <c r="P37" t="s">
        <v>232</v>
      </c>
      <c r="Q37" t="s">
        <v>232</v>
      </c>
      <c r="R37" t="s">
        <v>232</v>
      </c>
      <c r="S37">
        <v>50</v>
      </c>
      <c r="T37" t="s">
        <v>498</v>
      </c>
      <c r="U37">
        <v>45</v>
      </c>
      <c r="V37" t="s">
        <v>299</v>
      </c>
      <c r="W37">
        <v>150</v>
      </c>
      <c r="X37" t="s">
        <v>462</v>
      </c>
      <c r="AH37" t="s">
        <v>713</v>
      </c>
      <c r="AI37" t="s">
        <v>516</v>
      </c>
      <c r="AM37" t="s">
        <v>475</v>
      </c>
      <c r="AN37">
        <v>1</v>
      </c>
      <c r="AO37" t="s">
        <v>823</v>
      </c>
      <c r="AP37" t="s">
        <v>264</v>
      </c>
      <c r="AQ37" t="s">
        <v>542</v>
      </c>
      <c r="AT37">
        <v>15</v>
      </c>
      <c r="AU37">
        <v>0</v>
      </c>
      <c r="AV37">
        <v>15</v>
      </c>
      <c r="BG37" t="s">
        <v>700</v>
      </c>
      <c r="BH37" t="s">
        <v>308</v>
      </c>
      <c r="BR37"/>
      <c r="BS37"/>
      <c r="BU37" s="5"/>
      <c r="BV37" s="5"/>
      <c r="BX37"/>
      <c r="CA37" s="3"/>
      <c r="DW37">
        <v>36</v>
      </c>
      <c r="DX37">
        <v>33</v>
      </c>
    </row>
    <row r="38" spans="1:128" x14ac:dyDescent="0.25">
      <c r="A38" t="s">
        <v>516</v>
      </c>
      <c r="B38" t="s">
        <v>479</v>
      </c>
      <c r="C38">
        <v>5</v>
      </c>
      <c r="D38" t="s">
        <v>781</v>
      </c>
      <c r="E38" t="s">
        <v>494</v>
      </c>
      <c r="F38" t="s">
        <v>340</v>
      </c>
      <c r="G38" t="s">
        <v>495</v>
      </c>
      <c r="H38" t="s">
        <v>496</v>
      </c>
      <c r="I38" t="s">
        <v>344</v>
      </c>
      <c r="J38" t="s">
        <v>245</v>
      </c>
      <c r="K38" t="s">
        <v>229</v>
      </c>
      <c r="L38" t="s">
        <v>246</v>
      </c>
      <c r="M38" t="s">
        <v>248</v>
      </c>
      <c r="N38">
        <v>3.2</v>
      </c>
      <c r="O38" t="s">
        <v>497</v>
      </c>
      <c r="P38" t="s">
        <v>232</v>
      </c>
      <c r="Q38" t="s">
        <v>232</v>
      </c>
      <c r="R38" t="s">
        <v>232</v>
      </c>
      <c r="S38">
        <v>50</v>
      </c>
      <c r="T38" t="s">
        <v>498</v>
      </c>
      <c r="U38">
        <v>45</v>
      </c>
      <c r="V38" t="s">
        <v>299</v>
      </c>
      <c r="W38">
        <v>150</v>
      </c>
      <c r="X38" t="s">
        <v>462</v>
      </c>
      <c r="AH38" t="s">
        <v>714</v>
      </c>
      <c r="AI38" t="s">
        <v>516</v>
      </c>
      <c r="AJ38" t="s">
        <v>3</v>
      </c>
      <c r="AL38" t="s">
        <v>543</v>
      </c>
      <c r="AM38" t="s">
        <v>475</v>
      </c>
      <c r="AN38">
        <v>2</v>
      </c>
      <c r="AO38" t="s">
        <v>824</v>
      </c>
      <c r="AP38" t="s">
        <v>283</v>
      </c>
      <c r="AQ38" t="s">
        <v>525</v>
      </c>
      <c r="AT38">
        <v>17</v>
      </c>
      <c r="AU38">
        <v>15</v>
      </c>
      <c r="AV38">
        <v>32</v>
      </c>
      <c r="AX38" t="s">
        <v>253</v>
      </c>
      <c r="AY38" t="s">
        <v>551</v>
      </c>
      <c r="AZ38" t="s">
        <v>254</v>
      </c>
      <c r="BA38" t="s">
        <v>290</v>
      </c>
      <c r="BB38" t="s">
        <v>278</v>
      </c>
      <c r="BC38">
        <v>15</v>
      </c>
      <c r="BD38">
        <v>15</v>
      </c>
      <c r="BG38" t="s">
        <v>525</v>
      </c>
      <c r="BH38" t="s">
        <v>308</v>
      </c>
      <c r="BI38">
        <v>15</v>
      </c>
      <c r="BJ38" t="s">
        <v>562</v>
      </c>
      <c r="BK38" t="s">
        <v>562</v>
      </c>
      <c r="BL38" t="s">
        <v>222</v>
      </c>
      <c r="BM38" t="s">
        <v>562</v>
      </c>
      <c r="BN38" t="s">
        <v>543</v>
      </c>
      <c r="BO38">
        <v>3</v>
      </c>
      <c r="BP38">
        <v>3</v>
      </c>
      <c r="BQ38">
        <v>4</v>
      </c>
      <c r="BR38">
        <v>5</v>
      </c>
      <c r="BS38">
        <v>4</v>
      </c>
      <c r="BT38">
        <v>5.6</v>
      </c>
      <c r="BU38" s="5">
        <v>5</v>
      </c>
      <c r="BV38" s="5" t="s">
        <v>691</v>
      </c>
      <c r="BW38">
        <v>120</v>
      </c>
      <c r="BX38"/>
      <c r="CA38" s="3"/>
      <c r="CB38" t="s">
        <v>3</v>
      </c>
      <c r="CC38" t="s">
        <v>239</v>
      </c>
      <c r="CE38" t="s">
        <v>239</v>
      </c>
      <c r="CF38" t="s">
        <v>244</v>
      </c>
      <c r="CI38" t="s">
        <v>467</v>
      </c>
      <c r="CJ38" t="s">
        <v>467</v>
      </c>
      <c r="CK38" t="s">
        <v>467</v>
      </c>
      <c r="CL38" t="s">
        <v>467</v>
      </c>
      <c r="CM38" t="s">
        <v>467</v>
      </c>
      <c r="CN38" t="s">
        <v>467</v>
      </c>
      <c r="CO38" t="s">
        <v>467</v>
      </c>
      <c r="CP38" t="s">
        <v>467</v>
      </c>
      <c r="CQ38" t="s">
        <v>408</v>
      </c>
      <c r="CR38" t="s">
        <v>467</v>
      </c>
      <c r="CS38" t="s">
        <v>467</v>
      </c>
      <c r="CT38" t="s">
        <v>223</v>
      </c>
      <c r="CU38" t="s">
        <v>223</v>
      </c>
      <c r="CV38" t="s">
        <v>241</v>
      </c>
      <c r="CW38" t="s">
        <v>774</v>
      </c>
      <c r="CX38" t="s">
        <v>745</v>
      </c>
      <c r="CY38" t="s">
        <v>7</v>
      </c>
      <c r="CZ38" t="s">
        <v>271</v>
      </c>
      <c r="DA38" t="s">
        <v>773</v>
      </c>
      <c r="DB38" t="s">
        <v>729</v>
      </c>
      <c r="DC38" t="s">
        <v>7</v>
      </c>
      <c r="DD38" t="s">
        <v>467</v>
      </c>
      <c r="DF38" t="s">
        <v>241</v>
      </c>
      <c r="DW38">
        <v>37</v>
      </c>
      <c r="DX38">
        <v>34</v>
      </c>
    </row>
    <row r="39" spans="1:128" x14ac:dyDescent="0.25">
      <c r="A39" t="s">
        <v>517</v>
      </c>
      <c r="B39" t="s">
        <v>479</v>
      </c>
      <c r="C39">
        <v>6</v>
      </c>
      <c r="D39" t="s">
        <v>782</v>
      </c>
      <c r="E39" t="s">
        <v>499</v>
      </c>
      <c r="F39" t="s">
        <v>340</v>
      </c>
      <c r="G39" t="s">
        <v>500</v>
      </c>
      <c r="H39" t="s">
        <v>501</v>
      </c>
      <c r="I39" t="s">
        <v>344</v>
      </c>
      <c r="J39" t="s">
        <v>260</v>
      </c>
      <c r="K39" t="s">
        <v>229</v>
      </c>
      <c r="L39" t="s">
        <v>246</v>
      </c>
      <c r="M39" t="s">
        <v>261</v>
      </c>
      <c r="N39">
        <v>10</v>
      </c>
      <c r="O39" t="s">
        <v>502</v>
      </c>
      <c r="Q39" t="s">
        <v>232</v>
      </c>
      <c r="R39" t="s">
        <v>232</v>
      </c>
      <c r="S39">
        <v>60</v>
      </c>
      <c r="T39" t="s">
        <v>503</v>
      </c>
      <c r="U39">
        <v>45</v>
      </c>
      <c r="V39" t="s">
        <v>255</v>
      </c>
      <c r="W39">
        <v>105</v>
      </c>
      <c r="X39" t="s">
        <v>462</v>
      </c>
      <c r="AH39" t="s">
        <v>717</v>
      </c>
      <c r="AI39" t="s">
        <v>517</v>
      </c>
      <c r="AJ39" t="s">
        <v>524</v>
      </c>
      <c r="AK39" t="s">
        <v>739</v>
      </c>
      <c r="AM39" t="s">
        <v>475</v>
      </c>
      <c r="AN39">
        <v>1</v>
      </c>
      <c r="AO39" t="s">
        <v>825</v>
      </c>
      <c r="AP39" t="s">
        <v>283</v>
      </c>
      <c r="AQ39" t="s">
        <v>527</v>
      </c>
      <c r="AT39">
        <v>3</v>
      </c>
      <c r="AU39">
        <v>0</v>
      </c>
      <c r="AV39">
        <v>3</v>
      </c>
      <c r="AX39" t="s">
        <v>266</v>
      </c>
      <c r="AY39" t="s">
        <v>552</v>
      </c>
      <c r="AZ39" t="s">
        <v>267</v>
      </c>
      <c r="BA39" t="s">
        <v>295</v>
      </c>
      <c r="BB39" t="s">
        <v>221</v>
      </c>
      <c r="BC39">
        <v>16</v>
      </c>
      <c r="BD39">
        <v>16</v>
      </c>
      <c r="BG39" t="s">
        <v>527</v>
      </c>
      <c r="BH39" t="s">
        <v>308</v>
      </c>
      <c r="BI39">
        <v>16</v>
      </c>
      <c r="BJ39" t="s">
        <v>464</v>
      </c>
      <c r="BK39" t="s">
        <v>464</v>
      </c>
      <c r="BL39" t="s">
        <v>193</v>
      </c>
      <c r="BM39" t="s">
        <v>464</v>
      </c>
      <c r="BR39"/>
      <c r="BS39"/>
      <c r="BU39" s="5"/>
      <c r="BV39" s="5"/>
      <c r="BX39" t="s">
        <v>739</v>
      </c>
      <c r="BY39">
        <v>4</v>
      </c>
      <c r="BZ39" t="s">
        <v>8</v>
      </c>
      <c r="CA39" s="3">
        <v>66</v>
      </c>
      <c r="CB39" t="s">
        <v>524</v>
      </c>
      <c r="CC39" t="s">
        <v>412</v>
      </c>
      <c r="CE39" t="s">
        <v>437</v>
      </c>
      <c r="CF39" t="s">
        <v>226</v>
      </c>
      <c r="CI39" t="s">
        <v>639</v>
      </c>
      <c r="CJ39" t="s">
        <v>639</v>
      </c>
      <c r="CK39" t="s">
        <v>639</v>
      </c>
      <c r="CL39" t="s">
        <v>639</v>
      </c>
      <c r="CM39" t="s">
        <v>639</v>
      </c>
      <c r="CN39" t="s">
        <v>639</v>
      </c>
      <c r="CO39" t="s">
        <v>639</v>
      </c>
      <c r="CP39" t="s">
        <v>639</v>
      </c>
      <c r="CQ39" t="s">
        <v>409</v>
      </c>
      <c r="CR39" t="s">
        <v>639</v>
      </c>
      <c r="CS39" t="s">
        <v>639</v>
      </c>
      <c r="CT39" t="s">
        <v>240</v>
      </c>
      <c r="CU39" t="s">
        <v>240</v>
      </c>
      <c r="CV39" t="s">
        <v>7</v>
      </c>
      <c r="CW39" t="s">
        <v>751</v>
      </c>
      <c r="CX39" t="s">
        <v>746</v>
      </c>
      <c r="CY39" t="s">
        <v>241</v>
      </c>
      <c r="CZ39" t="s">
        <v>258</v>
      </c>
      <c r="DA39" t="s">
        <v>729</v>
      </c>
      <c r="DB39" t="s">
        <v>225</v>
      </c>
      <c r="DC39" t="s">
        <v>241</v>
      </c>
      <c r="DD39" t="s">
        <v>639</v>
      </c>
      <c r="DW39">
        <v>38</v>
      </c>
      <c r="DX39">
        <v>35</v>
      </c>
    </row>
    <row r="40" spans="1:128" x14ac:dyDescent="0.25">
      <c r="A40" t="s">
        <v>517</v>
      </c>
      <c r="B40" t="s">
        <v>479</v>
      </c>
      <c r="C40">
        <v>6</v>
      </c>
      <c r="D40" t="s">
        <v>782</v>
      </c>
      <c r="E40" t="s">
        <v>499</v>
      </c>
      <c r="F40" t="s">
        <v>340</v>
      </c>
      <c r="G40" t="s">
        <v>500</v>
      </c>
      <c r="H40" t="s">
        <v>501</v>
      </c>
      <c r="I40" t="s">
        <v>344</v>
      </c>
      <c r="J40" t="s">
        <v>260</v>
      </c>
      <c r="K40" t="s">
        <v>229</v>
      </c>
      <c r="L40" t="s">
        <v>246</v>
      </c>
      <c r="M40" t="s">
        <v>261</v>
      </c>
      <c r="N40">
        <v>10</v>
      </c>
      <c r="O40" t="s">
        <v>502</v>
      </c>
      <c r="Q40" t="s">
        <v>232</v>
      </c>
      <c r="R40" t="s">
        <v>232</v>
      </c>
      <c r="S40">
        <v>60</v>
      </c>
      <c r="T40" t="s">
        <v>503</v>
      </c>
      <c r="U40">
        <v>45</v>
      </c>
      <c r="V40" t="s">
        <v>255</v>
      </c>
      <c r="W40">
        <v>105</v>
      </c>
      <c r="X40" t="s">
        <v>462</v>
      </c>
      <c r="AH40" t="s">
        <v>716</v>
      </c>
      <c r="AI40" t="s">
        <v>517</v>
      </c>
      <c r="AJ40" t="s">
        <v>524</v>
      </c>
      <c r="AM40" t="s">
        <v>475</v>
      </c>
      <c r="AN40">
        <v>2</v>
      </c>
      <c r="AO40" t="s">
        <v>826</v>
      </c>
      <c r="AP40" t="s">
        <v>283</v>
      </c>
      <c r="AQ40" t="s">
        <v>544</v>
      </c>
      <c r="AT40">
        <v>1</v>
      </c>
      <c r="AU40">
        <v>3</v>
      </c>
      <c r="AV40">
        <v>4</v>
      </c>
      <c r="AX40" t="s">
        <v>218</v>
      </c>
      <c r="AY40" t="s">
        <v>463</v>
      </c>
      <c r="AZ40" t="s">
        <v>219</v>
      </c>
      <c r="BA40" t="s">
        <v>220</v>
      </c>
      <c r="BB40" t="s">
        <v>238</v>
      </c>
      <c r="BC40">
        <v>17</v>
      </c>
      <c r="BD40">
        <v>17</v>
      </c>
      <c r="BG40" t="s">
        <v>544</v>
      </c>
      <c r="BH40" t="s">
        <v>308</v>
      </c>
      <c r="BI40">
        <v>17</v>
      </c>
      <c r="BJ40" t="s">
        <v>465</v>
      </c>
      <c r="BK40" t="s">
        <v>465</v>
      </c>
      <c r="BL40" t="s">
        <v>222</v>
      </c>
      <c r="BM40" t="s">
        <v>465</v>
      </c>
      <c r="BR40"/>
      <c r="BS40"/>
      <c r="BU40" s="5"/>
      <c r="BV40" s="5"/>
      <c r="BX40"/>
      <c r="CA40" s="3"/>
      <c r="CB40" t="s">
        <v>524</v>
      </c>
      <c r="CC40" t="s">
        <v>412</v>
      </c>
      <c r="CE40" t="s">
        <v>437</v>
      </c>
      <c r="CF40" t="s">
        <v>226</v>
      </c>
      <c r="CI40" t="s">
        <v>639</v>
      </c>
      <c r="CJ40" t="s">
        <v>639</v>
      </c>
      <c r="CK40" t="s">
        <v>639</v>
      </c>
      <c r="CL40" t="s">
        <v>639</v>
      </c>
      <c r="CM40" t="s">
        <v>639</v>
      </c>
      <c r="CN40" t="s">
        <v>639</v>
      </c>
      <c r="CO40" t="s">
        <v>639</v>
      </c>
      <c r="CP40" t="s">
        <v>639</v>
      </c>
      <c r="CQ40" t="s">
        <v>409</v>
      </c>
      <c r="CR40" t="s">
        <v>639</v>
      </c>
      <c r="CS40" t="s">
        <v>639</v>
      </c>
      <c r="CT40" t="s">
        <v>240</v>
      </c>
      <c r="CU40" t="s">
        <v>240</v>
      </c>
      <c r="CV40" t="s">
        <v>7</v>
      </c>
      <c r="CW40" t="s">
        <v>751</v>
      </c>
      <c r="CX40" t="s">
        <v>746</v>
      </c>
      <c r="CY40" t="s">
        <v>241</v>
      </c>
      <c r="CZ40" t="s">
        <v>258</v>
      </c>
      <c r="DA40" t="s">
        <v>729</v>
      </c>
      <c r="DB40" t="s">
        <v>225</v>
      </c>
      <c r="DC40" t="s">
        <v>241</v>
      </c>
      <c r="DD40" t="s">
        <v>639</v>
      </c>
      <c r="DW40">
        <v>39</v>
      </c>
      <c r="DX40">
        <v>36</v>
      </c>
    </row>
    <row r="41" spans="1:128" x14ac:dyDescent="0.25">
      <c r="A41" t="s">
        <v>517</v>
      </c>
      <c r="B41" t="s">
        <v>479</v>
      </c>
      <c r="C41">
        <v>6</v>
      </c>
      <c r="D41" t="s">
        <v>782</v>
      </c>
      <c r="E41" t="s">
        <v>499</v>
      </c>
      <c r="F41" t="s">
        <v>340</v>
      </c>
      <c r="G41" t="s">
        <v>500</v>
      </c>
      <c r="H41" t="s">
        <v>501</v>
      </c>
      <c r="I41" t="s">
        <v>344</v>
      </c>
      <c r="J41" t="s">
        <v>260</v>
      </c>
      <c r="K41" t="s">
        <v>229</v>
      </c>
      <c r="L41" t="s">
        <v>246</v>
      </c>
      <c r="M41" t="s">
        <v>261</v>
      </c>
      <c r="N41">
        <v>10</v>
      </c>
      <c r="O41" t="s">
        <v>502</v>
      </c>
      <c r="Q41" t="s">
        <v>232</v>
      </c>
      <c r="R41" t="s">
        <v>232</v>
      </c>
      <c r="S41">
        <v>60</v>
      </c>
      <c r="T41" t="s">
        <v>503</v>
      </c>
      <c r="U41">
        <v>45</v>
      </c>
      <c r="V41" t="s">
        <v>255</v>
      </c>
      <c r="W41">
        <v>105</v>
      </c>
      <c r="X41" t="s">
        <v>462</v>
      </c>
      <c r="AH41" t="s">
        <v>715</v>
      </c>
      <c r="AI41" t="s">
        <v>517</v>
      </c>
      <c r="AJ41" t="s">
        <v>3</v>
      </c>
      <c r="AM41" t="s">
        <v>475</v>
      </c>
      <c r="AN41">
        <v>3</v>
      </c>
      <c r="AO41" t="s">
        <v>827</v>
      </c>
      <c r="AP41" t="s">
        <v>283</v>
      </c>
      <c r="AQ41" t="s">
        <v>545</v>
      </c>
      <c r="AT41">
        <v>7</v>
      </c>
      <c r="AU41">
        <v>4</v>
      </c>
      <c r="AV41">
        <v>11</v>
      </c>
      <c r="AX41" t="s">
        <v>235</v>
      </c>
      <c r="AY41" t="s">
        <v>448</v>
      </c>
      <c r="AZ41" t="s">
        <v>236</v>
      </c>
      <c r="BA41" t="s">
        <v>237</v>
      </c>
      <c r="BB41" t="s">
        <v>256</v>
      </c>
      <c r="BC41">
        <v>18</v>
      </c>
      <c r="BD41">
        <v>18</v>
      </c>
      <c r="BG41" t="s">
        <v>545</v>
      </c>
      <c r="BH41" t="s">
        <v>308</v>
      </c>
      <c r="BI41">
        <v>18</v>
      </c>
      <c r="BJ41" t="s">
        <v>562</v>
      </c>
      <c r="BK41" t="s">
        <v>562</v>
      </c>
      <c r="BL41" t="s">
        <v>193</v>
      </c>
      <c r="BM41" t="s">
        <v>562</v>
      </c>
      <c r="BR41"/>
      <c r="BS41"/>
      <c r="BU41" s="5"/>
      <c r="BV41" s="5"/>
      <c r="BX41"/>
      <c r="CA41" s="3"/>
      <c r="CB41" t="s">
        <v>3</v>
      </c>
      <c r="CC41" t="s">
        <v>239</v>
      </c>
      <c r="CE41" t="s">
        <v>239</v>
      </c>
      <c r="CF41" t="s">
        <v>244</v>
      </c>
      <c r="CI41" t="s">
        <v>467</v>
      </c>
      <c r="CJ41" t="s">
        <v>467</v>
      </c>
      <c r="CK41" t="s">
        <v>467</v>
      </c>
      <c r="CL41" t="s">
        <v>467</v>
      </c>
      <c r="CM41" t="s">
        <v>467</v>
      </c>
      <c r="CN41" t="s">
        <v>467</v>
      </c>
      <c r="CO41" t="s">
        <v>467</v>
      </c>
      <c r="CP41" t="s">
        <v>467</v>
      </c>
      <c r="CQ41" t="s">
        <v>408</v>
      </c>
      <c r="CR41" t="s">
        <v>467</v>
      </c>
      <c r="CS41" t="s">
        <v>467</v>
      </c>
      <c r="CT41" t="s">
        <v>223</v>
      </c>
      <c r="CU41" t="s">
        <v>223</v>
      </c>
      <c r="CV41" t="s">
        <v>241</v>
      </c>
      <c r="CW41" t="s">
        <v>774</v>
      </c>
      <c r="CX41" t="s">
        <v>745</v>
      </c>
      <c r="CY41" t="s">
        <v>7</v>
      </c>
      <c r="CZ41" t="s">
        <v>271</v>
      </c>
      <c r="DA41" t="s">
        <v>773</v>
      </c>
      <c r="DB41" t="s">
        <v>729</v>
      </c>
      <c r="DC41" t="s">
        <v>7</v>
      </c>
      <c r="DD41" t="s">
        <v>467</v>
      </c>
      <c r="DF41" t="s">
        <v>241</v>
      </c>
      <c r="DW41">
        <v>40</v>
      </c>
      <c r="DX41">
        <v>37</v>
      </c>
    </row>
    <row r="42" spans="1:128" x14ac:dyDescent="0.25">
      <c r="A42" t="s">
        <v>518</v>
      </c>
      <c r="B42" t="s">
        <v>479</v>
      </c>
      <c r="C42">
        <v>7</v>
      </c>
      <c r="D42" t="s">
        <v>783</v>
      </c>
      <c r="E42" t="s">
        <v>504</v>
      </c>
      <c r="F42" t="s">
        <v>340</v>
      </c>
      <c r="G42" t="s">
        <v>505</v>
      </c>
      <c r="H42" t="s">
        <v>506</v>
      </c>
      <c r="I42" t="s">
        <v>344</v>
      </c>
      <c r="J42" t="s">
        <v>291</v>
      </c>
      <c r="L42" t="s">
        <v>228</v>
      </c>
      <c r="N42">
        <v>32</v>
      </c>
      <c r="O42" t="s">
        <v>507</v>
      </c>
      <c r="R42" t="s">
        <v>232</v>
      </c>
      <c r="S42">
        <v>70</v>
      </c>
      <c r="T42" t="s">
        <v>508</v>
      </c>
      <c r="U42">
        <v>45</v>
      </c>
      <c r="V42" t="s">
        <v>299</v>
      </c>
      <c r="W42">
        <v>60</v>
      </c>
      <c r="Z42" t="s">
        <v>274</v>
      </c>
      <c r="AE42" t="s">
        <v>293</v>
      </c>
      <c r="AH42" t="s">
        <v>718</v>
      </c>
      <c r="AI42" t="s">
        <v>518</v>
      </c>
      <c r="AJ42" t="s">
        <v>534</v>
      </c>
      <c r="AM42" t="s">
        <v>475</v>
      </c>
      <c r="AN42">
        <v>1</v>
      </c>
      <c r="AO42" t="s">
        <v>828</v>
      </c>
      <c r="AP42" t="s">
        <v>289</v>
      </c>
      <c r="AQ42" t="s">
        <v>547</v>
      </c>
      <c r="AT42">
        <v>13</v>
      </c>
      <c r="AU42">
        <v>0</v>
      </c>
      <c r="AV42">
        <v>13</v>
      </c>
      <c r="BG42" t="s">
        <v>547</v>
      </c>
      <c r="BH42" t="s">
        <v>308</v>
      </c>
      <c r="BR42"/>
      <c r="BS42"/>
      <c r="BU42" s="5"/>
      <c r="BV42" s="5"/>
      <c r="BX42"/>
      <c r="CA42" s="3"/>
      <c r="CB42" t="s">
        <v>534</v>
      </c>
      <c r="CC42" t="s">
        <v>412</v>
      </c>
      <c r="CE42" t="s">
        <v>6</v>
      </c>
      <c r="CI42" t="s">
        <v>661</v>
      </c>
      <c r="CJ42" t="s">
        <v>661</v>
      </c>
      <c r="CK42" t="s">
        <v>661</v>
      </c>
      <c r="CL42" t="s">
        <v>661</v>
      </c>
      <c r="CM42" t="s">
        <v>661</v>
      </c>
      <c r="CN42" t="s">
        <v>661</v>
      </c>
      <c r="CO42" t="s">
        <v>661</v>
      </c>
      <c r="CP42" t="s">
        <v>661</v>
      </c>
      <c r="CR42" t="s">
        <v>661</v>
      </c>
      <c r="CS42" t="s">
        <v>661</v>
      </c>
      <c r="CT42" t="s">
        <v>279</v>
      </c>
      <c r="CU42" t="s">
        <v>279</v>
      </c>
      <c r="CV42" t="s">
        <v>7</v>
      </c>
      <c r="CW42" t="s">
        <v>765</v>
      </c>
      <c r="CX42" t="s">
        <v>756</v>
      </c>
      <c r="CY42" t="s">
        <v>7</v>
      </c>
      <c r="CZ42" t="s">
        <v>271</v>
      </c>
      <c r="DA42" t="s">
        <v>730</v>
      </c>
      <c r="DB42" t="s">
        <v>730</v>
      </c>
      <c r="DD42" t="s">
        <v>661</v>
      </c>
      <c r="DW42">
        <v>41</v>
      </c>
      <c r="DX42">
        <v>38</v>
      </c>
    </row>
    <row r="43" spans="1:128" x14ac:dyDescent="0.25">
      <c r="A43" t="s">
        <v>518</v>
      </c>
      <c r="B43" t="s">
        <v>479</v>
      </c>
      <c r="C43">
        <v>7</v>
      </c>
      <c r="D43" t="s">
        <v>783</v>
      </c>
      <c r="E43" t="s">
        <v>504</v>
      </c>
      <c r="F43" t="s">
        <v>340</v>
      </c>
      <c r="G43" t="s">
        <v>505</v>
      </c>
      <c r="H43" t="s">
        <v>506</v>
      </c>
      <c r="I43" t="s">
        <v>344</v>
      </c>
      <c r="J43" t="s">
        <v>291</v>
      </c>
      <c r="L43" t="s">
        <v>228</v>
      </c>
      <c r="N43">
        <v>32</v>
      </c>
      <c r="O43" t="s">
        <v>507</v>
      </c>
      <c r="R43" t="s">
        <v>232</v>
      </c>
      <c r="S43">
        <v>70</v>
      </c>
      <c r="T43" t="s">
        <v>508</v>
      </c>
      <c r="U43">
        <v>45</v>
      </c>
      <c r="V43" t="s">
        <v>299</v>
      </c>
      <c r="W43">
        <v>60</v>
      </c>
      <c r="Z43" t="s">
        <v>274</v>
      </c>
      <c r="AE43" t="s">
        <v>293</v>
      </c>
      <c r="AH43" t="s">
        <v>719</v>
      </c>
      <c r="AI43" t="s">
        <v>518</v>
      </c>
      <c r="AJ43" t="s">
        <v>347</v>
      </c>
      <c r="AL43" t="s">
        <v>548</v>
      </c>
      <c r="AM43" t="s">
        <v>475</v>
      </c>
      <c r="AN43">
        <v>2</v>
      </c>
      <c r="AO43" t="s">
        <v>829</v>
      </c>
      <c r="AP43" t="s">
        <v>233</v>
      </c>
      <c r="AQ43" t="s">
        <v>525</v>
      </c>
      <c r="AT43">
        <v>5</v>
      </c>
      <c r="AU43">
        <v>13</v>
      </c>
      <c r="AV43">
        <v>18</v>
      </c>
      <c r="AX43" t="s">
        <v>235</v>
      </c>
      <c r="AY43" t="s">
        <v>463</v>
      </c>
      <c r="AZ43" t="s">
        <v>219</v>
      </c>
      <c r="BA43" t="s">
        <v>277</v>
      </c>
      <c r="BB43" t="s">
        <v>256</v>
      </c>
      <c r="BC43" t="s">
        <v>553</v>
      </c>
      <c r="BD43" t="s">
        <v>553</v>
      </c>
      <c r="BG43" t="s">
        <v>525</v>
      </c>
      <c r="BH43" t="s">
        <v>308</v>
      </c>
      <c r="BI43">
        <v>19</v>
      </c>
      <c r="BJ43" t="s">
        <v>464</v>
      </c>
      <c r="BK43" t="s">
        <v>464</v>
      </c>
      <c r="BL43" t="s">
        <v>222</v>
      </c>
      <c r="BM43" t="s">
        <v>464</v>
      </c>
      <c r="BN43" t="s">
        <v>548</v>
      </c>
      <c r="BO43">
        <v>5</v>
      </c>
      <c r="BP43">
        <v>1</v>
      </c>
      <c r="BQ43">
        <v>1</v>
      </c>
      <c r="BR43">
        <v>0.5</v>
      </c>
      <c r="BS43">
        <v>0.83</v>
      </c>
      <c r="BT43">
        <v>27</v>
      </c>
      <c r="BU43" s="5">
        <v>23</v>
      </c>
      <c r="BV43" s="5" t="s">
        <v>691</v>
      </c>
      <c r="BW43">
        <v>120</v>
      </c>
      <c r="BX43"/>
      <c r="CA43" s="3"/>
      <c r="CB43" t="s">
        <v>347</v>
      </c>
      <c r="CC43" t="s">
        <v>6</v>
      </c>
      <c r="DW43">
        <v>42</v>
      </c>
      <c r="DX43">
        <v>39</v>
      </c>
    </row>
    <row r="44" spans="1:128" x14ac:dyDescent="0.25">
      <c r="A44" t="s">
        <v>518</v>
      </c>
      <c r="B44" t="s">
        <v>479</v>
      </c>
      <c r="C44">
        <v>7</v>
      </c>
      <c r="D44" t="s">
        <v>783</v>
      </c>
      <c r="E44" t="s">
        <v>504</v>
      </c>
      <c r="F44" t="s">
        <v>340</v>
      </c>
      <c r="G44" t="s">
        <v>505</v>
      </c>
      <c r="H44" t="s">
        <v>506</v>
      </c>
      <c r="I44" t="s">
        <v>344</v>
      </c>
      <c r="J44" t="s">
        <v>291</v>
      </c>
      <c r="L44" t="s">
        <v>228</v>
      </c>
      <c r="N44">
        <v>32</v>
      </c>
      <c r="O44" t="s">
        <v>507</v>
      </c>
      <c r="R44" t="s">
        <v>232</v>
      </c>
      <c r="S44">
        <v>70</v>
      </c>
      <c r="T44" t="s">
        <v>508</v>
      </c>
      <c r="U44">
        <v>45</v>
      </c>
      <c r="V44" t="s">
        <v>299</v>
      </c>
      <c r="W44">
        <v>60</v>
      </c>
      <c r="Z44" t="s">
        <v>274</v>
      </c>
      <c r="AE44" t="s">
        <v>293</v>
      </c>
      <c r="AH44" t="s">
        <v>720</v>
      </c>
      <c r="AI44" t="s">
        <v>518</v>
      </c>
      <c r="AJ44" t="s">
        <v>3</v>
      </c>
      <c r="AM44" t="s">
        <v>475</v>
      </c>
      <c r="AN44">
        <v>3</v>
      </c>
      <c r="AO44" t="s">
        <v>830</v>
      </c>
      <c r="AP44" t="s">
        <v>233</v>
      </c>
      <c r="AQ44" t="s">
        <v>525</v>
      </c>
      <c r="AT44">
        <v>6</v>
      </c>
      <c r="AU44">
        <v>18</v>
      </c>
      <c r="AV44">
        <v>24</v>
      </c>
      <c r="AX44" t="s">
        <v>235</v>
      </c>
      <c r="AY44" t="s">
        <v>448</v>
      </c>
      <c r="AZ44" t="s">
        <v>236</v>
      </c>
      <c r="BA44" t="s">
        <v>284</v>
      </c>
      <c r="BB44" t="s">
        <v>269</v>
      </c>
      <c r="BC44" t="s">
        <v>554</v>
      </c>
      <c r="BD44" t="s">
        <v>554</v>
      </c>
      <c r="BF44" t="s">
        <v>265</v>
      </c>
      <c r="BG44" t="s">
        <v>525</v>
      </c>
      <c r="BH44" t="s">
        <v>308</v>
      </c>
      <c r="BI44">
        <v>20</v>
      </c>
      <c r="BJ44" t="s">
        <v>465</v>
      </c>
      <c r="BK44" t="s">
        <v>465</v>
      </c>
      <c r="BL44" t="s">
        <v>193</v>
      </c>
      <c r="BM44" t="s">
        <v>465</v>
      </c>
      <c r="BR44"/>
      <c r="BS44"/>
      <c r="BU44" s="5"/>
      <c r="BV44" s="5"/>
      <c r="BX44"/>
      <c r="CA44" s="3"/>
      <c r="CB44" t="s">
        <v>3</v>
      </c>
      <c r="CC44" t="s">
        <v>239</v>
      </c>
      <c r="CE44" t="s">
        <v>239</v>
      </c>
      <c r="CF44" t="s">
        <v>244</v>
      </c>
      <c r="CI44" t="s">
        <v>467</v>
      </c>
      <c r="CJ44" t="s">
        <v>467</v>
      </c>
      <c r="CK44" t="s">
        <v>467</v>
      </c>
      <c r="CL44" t="s">
        <v>467</v>
      </c>
      <c r="CM44" t="s">
        <v>467</v>
      </c>
      <c r="CN44" t="s">
        <v>467</v>
      </c>
      <c r="CO44" t="s">
        <v>467</v>
      </c>
      <c r="CP44" t="s">
        <v>467</v>
      </c>
      <c r="CQ44" t="s">
        <v>408</v>
      </c>
      <c r="CR44" t="s">
        <v>467</v>
      </c>
      <c r="CS44" t="s">
        <v>467</v>
      </c>
      <c r="CT44" t="s">
        <v>223</v>
      </c>
      <c r="CU44" t="s">
        <v>223</v>
      </c>
      <c r="CV44" t="s">
        <v>241</v>
      </c>
      <c r="CW44" t="s">
        <v>774</v>
      </c>
      <c r="CX44" t="s">
        <v>745</v>
      </c>
      <c r="CY44" t="s">
        <v>7</v>
      </c>
      <c r="CZ44" t="s">
        <v>271</v>
      </c>
      <c r="DA44" t="s">
        <v>773</v>
      </c>
      <c r="DB44" t="s">
        <v>729</v>
      </c>
      <c r="DC44" t="s">
        <v>7</v>
      </c>
      <c r="DD44" t="s">
        <v>467</v>
      </c>
      <c r="DF44" t="s">
        <v>241</v>
      </c>
      <c r="DW44">
        <v>43</v>
      </c>
      <c r="DX44">
        <v>40</v>
      </c>
    </row>
    <row r="45" spans="1:128" x14ac:dyDescent="0.25">
      <c r="A45" t="s">
        <v>518</v>
      </c>
      <c r="B45" t="s">
        <v>479</v>
      </c>
      <c r="C45">
        <v>7</v>
      </c>
      <c r="D45" t="s">
        <v>783</v>
      </c>
      <c r="E45" t="s">
        <v>504</v>
      </c>
      <c r="F45" t="s">
        <v>340</v>
      </c>
      <c r="G45" t="s">
        <v>505</v>
      </c>
      <c r="H45" t="s">
        <v>506</v>
      </c>
      <c r="I45" t="s">
        <v>344</v>
      </c>
      <c r="J45" t="s">
        <v>291</v>
      </c>
      <c r="L45" t="s">
        <v>228</v>
      </c>
      <c r="N45">
        <v>32</v>
      </c>
      <c r="O45" t="s">
        <v>507</v>
      </c>
      <c r="R45" t="s">
        <v>232</v>
      </c>
      <c r="S45">
        <v>70</v>
      </c>
      <c r="T45" t="s">
        <v>508</v>
      </c>
      <c r="U45">
        <v>45</v>
      </c>
      <c r="V45" t="s">
        <v>299</v>
      </c>
      <c r="W45">
        <v>60</v>
      </c>
      <c r="Z45" t="s">
        <v>274</v>
      </c>
      <c r="AE45" t="s">
        <v>293</v>
      </c>
      <c r="AH45" t="s">
        <v>727</v>
      </c>
      <c r="AI45" t="s">
        <v>518</v>
      </c>
      <c r="AJ45" t="s">
        <v>524</v>
      </c>
      <c r="AM45" t="s">
        <v>475</v>
      </c>
      <c r="AN45">
        <v>4</v>
      </c>
      <c r="AO45" t="s">
        <v>831</v>
      </c>
      <c r="AP45" t="s">
        <v>233</v>
      </c>
      <c r="AQ45" t="s">
        <v>525</v>
      </c>
      <c r="AT45">
        <v>8</v>
      </c>
      <c r="AU45">
        <v>24</v>
      </c>
      <c r="AV45">
        <v>32</v>
      </c>
      <c r="AX45" t="s">
        <v>253</v>
      </c>
      <c r="AY45" t="s">
        <v>551</v>
      </c>
      <c r="AZ45" t="s">
        <v>254</v>
      </c>
      <c r="BA45" t="s">
        <v>290</v>
      </c>
      <c r="BB45" t="s">
        <v>278</v>
      </c>
      <c r="BC45" t="s">
        <v>555</v>
      </c>
      <c r="BD45" t="s">
        <v>555</v>
      </c>
      <c r="BF45" t="s">
        <v>276</v>
      </c>
      <c r="BG45" t="s">
        <v>525</v>
      </c>
      <c r="BH45" t="s">
        <v>308</v>
      </c>
      <c r="BI45">
        <v>21</v>
      </c>
      <c r="BJ45" t="s">
        <v>562</v>
      </c>
      <c r="BK45" t="s">
        <v>562</v>
      </c>
      <c r="BL45" t="s">
        <v>222</v>
      </c>
      <c r="BM45" t="s">
        <v>562</v>
      </c>
      <c r="BR45"/>
      <c r="BS45"/>
      <c r="BU45" s="5"/>
      <c r="BV45" s="5"/>
      <c r="BX45"/>
      <c r="CA45" s="3"/>
      <c r="CB45" t="s">
        <v>524</v>
      </c>
      <c r="CC45" t="s">
        <v>412</v>
      </c>
      <c r="CE45" t="s">
        <v>437</v>
      </c>
      <c r="CF45" t="s">
        <v>226</v>
      </c>
      <c r="CI45" t="s">
        <v>639</v>
      </c>
      <c r="CJ45" t="s">
        <v>639</v>
      </c>
      <c r="CK45" t="s">
        <v>639</v>
      </c>
      <c r="CL45" t="s">
        <v>639</v>
      </c>
      <c r="CM45" t="s">
        <v>639</v>
      </c>
      <c r="CN45" t="s">
        <v>639</v>
      </c>
      <c r="CO45" t="s">
        <v>639</v>
      </c>
      <c r="CP45" t="s">
        <v>639</v>
      </c>
      <c r="CQ45" t="s">
        <v>409</v>
      </c>
      <c r="CR45" t="s">
        <v>639</v>
      </c>
      <c r="CS45" t="s">
        <v>639</v>
      </c>
      <c r="CT45" t="s">
        <v>240</v>
      </c>
      <c r="CU45" t="s">
        <v>240</v>
      </c>
      <c r="CV45" t="s">
        <v>7</v>
      </c>
      <c r="CW45" t="s">
        <v>751</v>
      </c>
      <c r="CX45" t="s">
        <v>746</v>
      </c>
      <c r="CY45" t="s">
        <v>241</v>
      </c>
      <c r="CZ45" t="s">
        <v>258</v>
      </c>
      <c r="DA45" t="s">
        <v>729</v>
      </c>
      <c r="DB45" t="s">
        <v>225</v>
      </c>
      <c r="DC45" t="s">
        <v>241</v>
      </c>
      <c r="DD45" t="s">
        <v>639</v>
      </c>
      <c r="DW45">
        <v>44</v>
      </c>
      <c r="DX45">
        <v>41</v>
      </c>
    </row>
    <row r="46" spans="1:128" x14ac:dyDescent="0.25">
      <c r="A46" t="s">
        <v>518</v>
      </c>
      <c r="B46" t="s">
        <v>479</v>
      </c>
      <c r="C46">
        <v>7</v>
      </c>
      <c r="D46" t="s">
        <v>783</v>
      </c>
      <c r="E46" t="s">
        <v>504</v>
      </c>
      <c r="F46" t="s">
        <v>340</v>
      </c>
      <c r="G46" t="s">
        <v>505</v>
      </c>
      <c r="H46" t="s">
        <v>506</v>
      </c>
      <c r="I46" t="s">
        <v>344</v>
      </c>
      <c r="J46" t="s">
        <v>291</v>
      </c>
      <c r="L46" t="s">
        <v>228</v>
      </c>
      <c r="N46">
        <v>32</v>
      </c>
      <c r="O46" t="s">
        <v>507</v>
      </c>
      <c r="R46" t="s">
        <v>232</v>
      </c>
      <c r="S46">
        <v>70</v>
      </c>
      <c r="T46" t="s">
        <v>508</v>
      </c>
      <c r="U46">
        <v>45</v>
      </c>
      <c r="V46" t="s">
        <v>299</v>
      </c>
      <c r="W46">
        <v>60</v>
      </c>
      <c r="Z46" t="s">
        <v>274</v>
      </c>
      <c r="AE46" t="s">
        <v>293</v>
      </c>
      <c r="AH46" t="s">
        <v>728</v>
      </c>
      <c r="AI46" t="s">
        <v>518</v>
      </c>
      <c r="AJ46" t="s">
        <v>526</v>
      </c>
      <c r="AK46" t="s">
        <v>741</v>
      </c>
      <c r="AM46" t="s">
        <v>475</v>
      </c>
      <c r="AN46">
        <v>5</v>
      </c>
      <c r="AO46" t="s">
        <v>832</v>
      </c>
      <c r="AP46" t="s">
        <v>233</v>
      </c>
      <c r="AQ46" t="s">
        <v>545</v>
      </c>
      <c r="AT46">
        <v>7</v>
      </c>
      <c r="AU46">
        <v>32</v>
      </c>
      <c r="AV46">
        <v>39</v>
      </c>
      <c r="AX46" t="s">
        <v>266</v>
      </c>
      <c r="AY46" t="s">
        <v>552</v>
      </c>
      <c r="AZ46" t="s">
        <v>267</v>
      </c>
      <c r="BA46" t="s">
        <v>295</v>
      </c>
      <c r="BB46" t="s">
        <v>221</v>
      </c>
      <c r="BC46" t="s">
        <v>556</v>
      </c>
      <c r="BD46" t="s">
        <v>556</v>
      </c>
      <c r="BF46" t="s">
        <v>252</v>
      </c>
      <c r="BG46" t="s">
        <v>545</v>
      </c>
      <c r="BH46" t="s">
        <v>308</v>
      </c>
      <c r="BI46">
        <v>22</v>
      </c>
      <c r="BJ46" t="s">
        <v>464</v>
      </c>
      <c r="BK46" t="s">
        <v>464</v>
      </c>
      <c r="BL46" t="s">
        <v>193</v>
      </c>
      <c r="BM46" t="s">
        <v>464</v>
      </c>
      <c r="BR46"/>
      <c r="BS46"/>
      <c r="BU46" s="5"/>
      <c r="BV46" s="5"/>
      <c r="BX46" t="s">
        <v>741</v>
      </c>
      <c r="BY46">
        <v>6</v>
      </c>
      <c r="CA46" s="3"/>
      <c r="CB46" t="s">
        <v>526</v>
      </c>
      <c r="CC46" t="s">
        <v>437</v>
      </c>
      <c r="CE46" t="s">
        <v>239</v>
      </c>
      <c r="CF46" t="s">
        <v>226</v>
      </c>
      <c r="CG46" t="s">
        <v>226</v>
      </c>
      <c r="CI46" t="s">
        <v>641</v>
      </c>
      <c r="CJ46" t="s">
        <v>641</v>
      </c>
      <c r="CK46" t="s">
        <v>641</v>
      </c>
      <c r="CL46" t="s">
        <v>641</v>
      </c>
      <c r="CM46" t="s">
        <v>641</v>
      </c>
      <c r="CN46" t="s">
        <v>641</v>
      </c>
      <c r="CO46" t="s">
        <v>641</v>
      </c>
      <c r="CP46" t="s">
        <v>641</v>
      </c>
      <c r="CQ46" t="s">
        <v>408</v>
      </c>
      <c r="CR46" t="s">
        <v>641</v>
      </c>
      <c r="CS46" t="s">
        <v>641</v>
      </c>
      <c r="CT46" t="s">
        <v>257</v>
      </c>
      <c r="CU46" t="s">
        <v>257</v>
      </c>
      <c r="CV46" t="s">
        <v>241</v>
      </c>
      <c r="CW46" t="s">
        <v>761</v>
      </c>
      <c r="CX46" t="s">
        <v>752</v>
      </c>
      <c r="CY46" t="s">
        <v>7</v>
      </c>
      <c r="CZ46" t="s">
        <v>242</v>
      </c>
      <c r="DA46" t="s">
        <v>730</v>
      </c>
      <c r="DC46" t="s">
        <v>7</v>
      </c>
      <c r="DD46" t="s">
        <v>641</v>
      </c>
      <c r="DW46">
        <v>45</v>
      </c>
      <c r="DX46">
        <v>42</v>
      </c>
    </row>
    <row r="47" spans="1:128" x14ac:dyDescent="0.25">
      <c r="A47" t="s">
        <v>518</v>
      </c>
      <c r="B47" t="s">
        <v>479</v>
      </c>
      <c r="C47">
        <v>7</v>
      </c>
      <c r="D47" t="s">
        <v>783</v>
      </c>
      <c r="E47" t="s">
        <v>504</v>
      </c>
      <c r="F47" t="s">
        <v>340</v>
      </c>
      <c r="G47" t="s">
        <v>505</v>
      </c>
      <c r="H47" t="s">
        <v>506</v>
      </c>
      <c r="I47" t="s">
        <v>344</v>
      </c>
      <c r="J47" t="s">
        <v>291</v>
      </c>
      <c r="L47" t="s">
        <v>228</v>
      </c>
      <c r="N47">
        <v>32</v>
      </c>
      <c r="O47" t="s">
        <v>507</v>
      </c>
      <c r="R47" t="s">
        <v>232</v>
      </c>
      <c r="S47">
        <v>70</v>
      </c>
      <c r="T47" t="s">
        <v>508</v>
      </c>
      <c r="U47">
        <v>45</v>
      </c>
      <c r="V47" t="s">
        <v>299</v>
      </c>
      <c r="W47">
        <v>60</v>
      </c>
      <c r="Z47" t="s">
        <v>274</v>
      </c>
      <c r="AE47" t="s">
        <v>293</v>
      </c>
      <c r="AH47" t="s">
        <v>726</v>
      </c>
      <c r="AI47" t="s">
        <v>518</v>
      </c>
      <c r="AJ47" t="s">
        <v>529</v>
      </c>
      <c r="AM47" t="s">
        <v>475</v>
      </c>
      <c r="AN47">
        <v>6</v>
      </c>
      <c r="AO47" t="s">
        <v>833</v>
      </c>
      <c r="AP47" t="s">
        <v>233</v>
      </c>
      <c r="AQ47" t="s">
        <v>545</v>
      </c>
      <c r="AT47">
        <v>9</v>
      </c>
      <c r="AU47">
        <v>39</v>
      </c>
      <c r="AV47">
        <v>48</v>
      </c>
      <c r="AX47" t="s">
        <v>218</v>
      </c>
      <c r="AY47" t="s">
        <v>463</v>
      </c>
      <c r="AZ47" t="s">
        <v>219</v>
      </c>
      <c r="BA47" t="s">
        <v>220</v>
      </c>
      <c r="BB47" t="s">
        <v>238</v>
      </c>
      <c r="BC47" t="s">
        <v>557</v>
      </c>
      <c r="BD47" t="s">
        <v>557</v>
      </c>
      <c r="BF47" t="s">
        <v>217</v>
      </c>
      <c r="BG47" t="s">
        <v>545</v>
      </c>
      <c r="BH47" t="s">
        <v>308</v>
      </c>
      <c r="BI47">
        <v>23</v>
      </c>
      <c r="BJ47" t="s">
        <v>465</v>
      </c>
      <c r="BK47" t="s">
        <v>465</v>
      </c>
      <c r="BL47" t="s">
        <v>222</v>
      </c>
      <c r="BM47" t="s">
        <v>465</v>
      </c>
      <c r="BR47"/>
      <c r="BS47"/>
      <c r="BU47" s="5"/>
      <c r="BV47" s="5"/>
      <c r="BX47"/>
      <c r="CA47" s="3"/>
      <c r="CB47" t="s">
        <v>529</v>
      </c>
      <c r="CC47" t="s">
        <v>6</v>
      </c>
      <c r="CD47" t="s">
        <v>178</v>
      </c>
      <c r="CE47" t="s">
        <v>6</v>
      </c>
      <c r="CF47" t="s">
        <v>244</v>
      </c>
      <c r="CI47" t="s">
        <v>647</v>
      </c>
      <c r="CJ47" t="s">
        <v>647</v>
      </c>
      <c r="CK47" t="s">
        <v>647</v>
      </c>
      <c r="CL47" t="s">
        <v>647</v>
      </c>
      <c r="CM47" t="s">
        <v>647</v>
      </c>
      <c r="CN47" t="s">
        <v>647</v>
      </c>
      <c r="CO47" t="s">
        <v>647</v>
      </c>
      <c r="CP47" t="s">
        <v>647</v>
      </c>
      <c r="CQ47" t="s">
        <v>409</v>
      </c>
      <c r="CR47" t="s">
        <v>647</v>
      </c>
      <c r="CS47" t="s">
        <v>647</v>
      </c>
      <c r="CT47" t="s">
        <v>270</v>
      </c>
      <c r="CU47" t="s">
        <v>270</v>
      </c>
      <c r="CW47" t="s">
        <v>762</v>
      </c>
      <c r="CX47" t="s">
        <v>753</v>
      </c>
      <c r="CY47" t="s">
        <v>241</v>
      </c>
      <c r="CZ47" t="s">
        <v>224</v>
      </c>
      <c r="DA47" t="s">
        <v>731</v>
      </c>
      <c r="DB47" t="s">
        <v>730</v>
      </c>
      <c r="DC47" t="s">
        <v>241</v>
      </c>
      <c r="DD47" t="s">
        <v>647</v>
      </c>
      <c r="DW47">
        <v>46</v>
      </c>
      <c r="DX47">
        <v>43</v>
      </c>
    </row>
    <row r="48" spans="1:128" x14ac:dyDescent="0.25">
      <c r="A48" t="s">
        <v>519</v>
      </c>
      <c r="B48" t="s">
        <v>479</v>
      </c>
      <c r="C48">
        <v>8</v>
      </c>
      <c r="D48" t="s">
        <v>784</v>
      </c>
      <c r="E48" t="s">
        <v>509</v>
      </c>
      <c r="F48" t="s">
        <v>340</v>
      </c>
      <c r="G48" t="s">
        <v>510</v>
      </c>
      <c r="H48" t="s">
        <v>511</v>
      </c>
      <c r="I48" t="s">
        <v>344</v>
      </c>
      <c r="N48">
        <v>100</v>
      </c>
      <c r="O48" t="s">
        <v>512</v>
      </c>
      <c r="P48" t="s">
        <v>232</v>
      </c>
      <c r="R48" t="s">
        <v>232</v>
      </c>
      <c r="S48">
        <v>80</v>
      </c>
      <c r="T48" t="s">
        <v>513</v>
      </c>
      <c r="U48">
        <v>45</v>
      </c>
      <c r="V48" t="s">
        <v>255</v>
      </c>
      <c r="W48">
        <v>15</v>
      </c>
      <c r="X48" t="s">
        <v>462</v>
      </c>
      <c r="Z48" t="s">
        <v>462</v>
      </c>
      <c r="AG48" t="s">
        <v>462</v>
      </c>
      <c r="AH48" t="s">
        <v>724</v>
      </c>
      <c r="AI48" t="s">
        <v>519</v>
      </c>
      <c r="AJ48" t="s">
        <v>532</v>
      </c>
      <c r="AM48" t="s">
        <v>475</v>
      </c>
      <c r="AN48">
        <v>1</v>
      </c>
      <c r="AO48" t="s">
        <v>834</v>
      </c>
      <c r="AP48" t="s">
        <v>264</v>
      </c>
      <c r="AQ48" t="s">
        <v>349</v>
      </c>
      <c r="AT48">
        <v>1</v>
      </c>
      <c r="AU48">
        <v>0</v>
      </c>
      <c r="AV48">
        <v>1</v>
      </c>
      <c r="AX48" t="s">
        <v>235</v>
      </c>
      <c r="AY48" t="s">
        <v>448</v>
      </c>
      <c r="AZ48" t="s">
        <v>236</v>
      </c>
      <c r="BA48" t="s">
        <v>237</v>
      </c>
      <c r="BB48" t="s">
        <v>256</v>
      </c>
      <c r="BC48" t="s">
        <v>558</v>
      </c>
      <c r="BD48" t="s">
        <v>558</v>
      </c>
      <c r="BF48" t="s">
        <v>234</v>
      </c>
      <c r="BG48" t="s">
        <v>349</v>
      </c>
      <c r="BH48" t="s">
        <v>308</v>
      </c>
      <c r="BI48">
        <v>24</v>
      </c>
      <c r="BJ48" t="s">
        <v>562</v>
      </c>
      <c r="BK48" t="s">
        <v>562</v>
      </c>
      <c r="BL48" t="s">
        <v>193</v>
      </c>
      <c r="BM48" t="s">
        <v>562</v>
      </c>
      <c r="BR48"/>
      <c r="BS48"/>
      <c r="BU48" s="5"/>
      <c r="BV48" s="5"/>
      <c r="BX48"/>
      <c r="CA48" s="3"/>
      <c r="CB48" t="s">
        <v>532</v>
      </c>
      <c r="CC48" t="s">
        <v>6</v>
      </c>
      <c r="CE48" t="s">
        <v>6</v>
      </c>
      <c r="CG48" t="s">
        <v>226</v>
      </c>
      <c r="CI48" t="s">
        <v>659</v>
      </c>
      <c r="CJ48" t="s">
        <v>659</v>
      </c>
      <c r="CK48" t="s">
        <v>659</v>
      </c>
      <c r="CL48" t="s">
        <v>659</v>
      </c>
      <c r="CM48" t="s">
        <v>659</v>
      </c>
      <c r="CN48" t="s">
        <v>659</v>
      </c>
      <c r="CO48" t="s">
        <v>659</v>
      </c>
      <c r="CP48" t="s">
        <v>659</v>
      </c>
      <c r="CR48" t="s">
        <v>659</v>
      </c>
      <c r="CS48" t="s">
        <v>659</v>
      </c>
      <c r="CT48" t="s">
        <v>285</v>
      </c>
      <c r="CU48" t="s">
        <v>285</v>
      </c>
      <c r="CW48" t="s">
        <v>764</v>
      </c>
      <c r="CX48" t="s">
        <v>755</v>
      </c>
      <c r="CY48" t="s">
        <v>241</v>
      </c>
      <c r="CZ48" t="s">
        <v>258</v>
      </c>
      <c r="DA48" t="s">
        <v>731</v>
      </c>
      <c r="DB48" t="s">
        <v>729</v>
      </c>
      <c r="DC48" t="s">
        <v>7</v>
      </c>
      <c r="DD48" t="s">
        <v>659</v>
      </c>
      <c r="DF48" t="s">
        <v>7</v>
      </c>
      <c r="DW48">
        <v>47</v>
      </c>
      <c r="DX48">
        <v>44</v>
      </c>
    </row>
    <row r="49" spans="1:128" x14ac:dyDescent="0.25">
      <c r="A49" t="s">
        <v>519</v>
      </c>
      <c r="B49" t="s">
        <v>479</v>
      </c>
      <c r="C49">
        <v>8</v>
      </c>
      <c r="D49" t="s">
        <v>784</v>
      </c>
      <c r="E49" t="s">
        <v>509</v>
      </c>
      <c r="F49" t="s">
        <v>340</v>
      </c>
      <c r="G49" t="s">
        <v>510</v>
      </c>
      <c r="H49" t="s">
        <v>511</v>
      </c>
      <c r="I49" t="s">
        <v>344</v>
      </c>
      <c r="N49">
        <v>100</v>
      </c>
      <c r="O49" t="s">
        <v>512</v>
      </c>
      <c r="P49" t="s">
        <v>232</v>
      </c>
      <c r="R49" t="s">
        <v>232</v>
      </c>
      <c r="S49">
        <v>80</v>
      </c>
      <c r="T49" t="s">
        <v>513</v>
      </c>
      <c r="U49">
        <v>45</v>
      </c>
      <c r="V49" t="s">
        <v>255</v>
      </c>
      <c r="W49">
        <v>15</v>
      </c>
      <c r="X49" t="s">
        <v>462</v>
      </c>
      <c r="Z49" t="s">
        <v>462</v>
      </c>
      <c r="AG49" t="s">
        <v>462</v>
      </c>
      <c r="AH49" t="s">
        <v>725</v>
      </c>
      <c r="AI49" t="s">
        <v>519</v>
      </c>
      <c r="AJ49" t="s">
        <v>531</v>
      </c>
      <c r="AK49" t="s">
        <v>770</v>
      </c>
      <c r="AM49" t="s">
        <v>475</v>
      </c>
      <c r="AN49">
        <v>2</v>
      </c>
      <c r="AO49" t="s">
        <v>835</v>
      </c>
      <c r="AP49" t="s">
        <v>264</v>
      </c>
      <c r="AQ49" t="s">
        <v>533</v>
      </c>
      <c r="AT49">
        <v>2</v>
      </c>
      <c r="AU49">
        <v>1</v>
      </c>
      <c r="AV49">
        <v>3</v>
      </c>
      <c r="AX49" t="s">
        <v>253</v>
      </c>
      <c r="AY49" t="s">
        <v>551</v>
      </c>
      <c r="AZ49" t="s">
        <v>254</v>
      </c>
      <c r="BA49" t="s">
        <v>255</v>
      </c>
      <c r="BB49" t="s">
        <v>256</v>
      </c>
      <c r="BC49" t="s">
        <v>559</v>
      </c>
      <c r="BD49" t="s">
        <v>559</v>
      </c>
      <c r="BF49" t="s">
        <v>234</v>
      </c>
      <c r="BG49" t="s">
        <v>533</v>
      </c>
      <c r="BH49" t="s">
        <v>308</v>
      </c>
      <c r="BI49">
        <v>25</v>
      </c>
      <c r="BJ49" t="s">
        <v>464</v>
      </c>
      <c r="BK49" t="s">
        <v>464</v>
      </c>
      <c r="BL49" t="s">
        <v>222</v>
      </c>
      <c r="BM49" t="s">
        <v>464</v>
      </c>
      <c r="BR49"/>
      <c r="BS49"/>
      <c r="BU49" s="5"/>
      <c r="BV49" s="5"/>
      <c r="BX49" t="s">
        <v>770</v>
      </c>
      <c r="BY49">
        <v>7</v>
      </c>
      <c r="BZ49" t="s">
        <v>8</v>
      </c>
      <c r="CA49" s="3">
        <v>12</v>
      </c>
      <c r="CB49" t="s">
        <v>531</v>
      </c>
      <c r="CC49" t="s">
        <v>6</v>
      </c>
      <c r="CD49" t="s">
        <v>116</v>
      </c>
      <c r="CE49" t="s">
        <v>6</v>
      </c>
      <c r="CF49" t="s">
        <v>244</v>
      </c>
      <c r="CG49" t="s">
        <v>226</v>
      </c>
      <c r="CH49" t="s">
        <v>483</v>
      </c>
      <c r="CI49" t="s">
        <v>651</v>
      </c>
      <c r="CJ49" t="s">
        <v>651</v>
      </c>
      <c r="CK49" t="s">
        <v>651</v>
      </c>
      <c r="CL49" t="s">
        <v>651</v>
      </c>
      <c r="CM49" t="s">
        <v>651</v>
      </c>
      <c r="CN49" t="s">
        <v>651</v>
      </c>
      <c r="CO49" t="s">
        <v>651</v>
      </c>
      <c r="CP49" t="s">
        <v>651</v>
      </c>
      <c r="CQ49" t="s">
        <v>408</v>
      </c>
      <c r="CR49" t="s">
        <v>651</v>
      </c>
      <c r="CS49" t="s">
        <v>651</v>
      </c>
      <c r="CT49" t="s">
        <v>279</v>
      </c>
      <c r="CU49" t="s">
        <v>279</v>
      </c>
      <c r="CV49" t="s">
        <v>241</v>
      </c>
      <c r="CW49" t="s">
        <v>763</v>
      </c>
      <c r="CX49" t="s">
        <v>754</v>
      </c>
      <c r="CY49" t="s">
        <v>7</v>
      </c>
      <c r="CZ49" t="s">
        <v>242</v>
      </c>
      <c r="DA49" t="s">
        <v>732</v>
      </c>
      <c r="DB49" t="s">
        <v>729</v>
      </c>
      <c r="DC49" t="s">
        <v>241</v>
      </c>
      <c r="DD49" t="s">
        <v>651</v>
      </c>
      <c r="DF49" t="s">
        <v>241</v>
      </c>
      <c r="DW49">
        <v>48</v>
      </c>
      <c r="DX49">
        <v>45</v>
      </c>
    </row>
    <row r="50" spans="1:128" x14ac:dyDescent="0.25">
      <c r="A50" t="s">
        <v>519</v>
      </c>
      <c r="B50" t="s">
        <v>479</v>
      </c>
      <c r="C50">
        <v>8</v>
      </c>
      <c r="D50" t="s">
        <v>784</v>
      </c>
      <c r="E50" t="s">
        <v>509</v>
      </c>
      <c r="F50" t="s">
        <v>340</v>
      </c>
      <c r="G50" t="s">
        <v>510</v>
      </c>
      <c r="H50" t="s">
        <v>511</v>
      </c>
      <c r="I50" t="s">
        <v>344</v>
      </c>
      <c r="N50">
        <v>100</v>
      </c>
      <c r="O50" t="s">
        <v>512</v>
      </c>
      <c r="P50" t="s">
        <v>232</v>
      </c>
      <c r="R50" t="s">
        <v>232</v>
      </c>
      <c r="S50">
        <v>80</v>
      </c>
      <c r="T50" t="s">
        <v>513</v>
      </c>
      <c r="U50">
        <v>45</v>
      </c>
      <c r="V50" t="s">
        <v>255</v>
      </c>
      <c r="W50">
        <v>15</v>
      </c>
      <c r="X50" t="s">
        <v>462</v>
      </c>
      <c r="Z50" t="s">
        <v>462</v>
      </c>
      <c r="AG50" t="s">
        <v>462</v>
      </c>
      <c r="AH50" t="s">
        <v>735</v>
      </c>
      <c r="AI50" t="s">
        <v>519</v>
      </c>
      <c r="AJ50" t="s">
        <v>531</v>
      </c>
      <c r="AM50" t="s">
        <v>475</v>
      </c>
      <c r="AN50">
        <v>3</v>
      </c>
      <c r="AO50" t="s">
        <v>836</v>
      </c>
      <c r="AP50" t="s">
        <v>264</v>
      </c>
      <c r="AQ50" t="s">
        <v>264</v>
      </c>
      <c r="AT50">
        <v>3</v>
      </c>
      <c r="AU50">
        <v>3</v>
      </c>
      <c r="AV50">
        <v>6</v>
      </c>
      <c r="AX50" t="s">
        <v>266</v>
      </c>
      <c r="AY50" t="s">
        <v>552</v>
      </c>
      <c r="AZ50" t="s">
        <v>267</v>
      </c>
      <c r="BA50" t="s">
        <v>268</v>
      </c>
      <c r="BB50" t="s">
        <v>256</v>
      </c>
      <c r="BC50" t="s">
        <v>560</v>
      </c>
      <c r="BD50" t="s">
        <v>560</v>
      </c>
      <c r="BG50" t="s">
        <v>700</v>
      </c>
      <c r="BH50" t="s">
        <v>308</v>
      </c>
      <c r="BI50">
        <v>26</v>
      </c>
      <c r="BJ50" t="s">
        <v>465</v>
      </c>
      <c r="BK50" t="s">
        <v>465</v>
      </c>
      <c r="BL50" t="s">
        <v>193</v>
      </c>
      <c r="BM50" t="s">
        <v>465</v>
      </c>
      <c r="BR50"/>
      <c r="BS50"/>
      <c r="BU50" s="5"/>
      <c r="BV50" s="5"/>
      <c r="BX50"/>
      <c r="CA50" s="3"/>
      <c r="CB50" t="s">
        <v>531</v>
      </c>
      <c r="CC50" t="s">
        <v>6</v>
      </c>
      <c r="CD50" t="s">
        <v>116</v>
      </c>
      <c r="CE50" t="s">
        <v>6</v>
      </c>
      <c r="CF50" t="s">
        <v>244</v>
      </c>
      <c r="CG50" t="s">
        <v>226</v>
      </c>
      <c r="CH50" t="s">
        <v>483</v>
      </c>
      <c r="CI50" t="s">
        <v>651</v>
      </c>
      <c r="CJ50" t="s">
        <v>651</v>
      </c>
      <c r="CK50" t="s">
        <v>651</v>
      </c>
      <c r="CL50" t="s">
        <v>651</v>
      </c>
      <c r="CM50" t="s">
        <v>651</v>
      </c>
      <c r="CN50" t="s">
        <v>651</v>
      </c>
      <c r="CO50" t="s">
        <v>651</v>
      </c>
      <c r="CP50" t="s">
        <v>651</v>
      </c>
      <c r="CQ50" t="s">
        <v>408</v>
      </c>
      <c r="CR50" t="s">
        <v>651</v>
      </c>
      <c r="CS50" t="s">
        <v>651</v>
      </c>
      <c r="CT50" t="s">
        <v>279</v>
      </c>
      <c r="CU50" t="s">
        <v>279</v>
      </c>
      <c r="CV50" t="s">
        <v>241</v>
      </c>
      <c r="CW50" t="s">
        <v>763</v>
      </c>
      <c r="CX50" t="s">
        <v>754</v>
      </c>
      <c r="CY50" t="s">
        <v>7</v>
      </c>
      <c r="CZ50" t="s">
        <v>242</v>
      </c>
      <c r="DA50" t="s">
        <v>732</v>
      </c>
      <c r="DB50" t="s">
        <v>729</v>
      </c>
      <c r="DC50" t="s">
        <v>241</v>
      </c>
      <c r="DD50" t="s">
        <v>651</v>
      </c>
      <c r="DF50" t="s">
        <v>241</v>
      </c>
      <c r="DW50">
        <v>49</v>
      </c>
      <c r="DX50">
        <v>46</v>
      </c>
    </row>
    <row r="51" spans="1:128" x14ac:dyDescent="0.25">
      <c r="A51" t="s">
        <v>519</v>
      </c>
      <c r="B51" t="s">
        <v>479</v>
      </c>
      <c r="C51">
        <v>8</v>
      </c>
      <c r="D51" t="s">
        <v>784</v>
      </c>
      <c r="E51" t="s">
        <v>509</v>
      </c>
      <c r="F51" t="s">
        <v>340</v>
      </c>
      <c r="G51" t="s">
        <v>510</v>
      </c>
      <c r="H51" t="s">
        <v>511</v>
      </c>
      <c r="I51" t="s">
        <v>344</v>
      </c>
      <c r="N51">
        <v>100</v>
      </c>
      <c r="O51" t="s">
        <v>512</v>
      </c>
      <c r="P51" t="s">
        <v>232</v>
      </c>
      <c r="R51" t="s">
        <v>232</v>
      </c>
      <c r="S51">
        <v>80</v>
      </c>
      <c r="T51" t="s">
        <v>513</v>
      </c>
      <c r="U51">
        <v>45</v>
      </c>
      <c r="V51" t="s">
        <v>255</v>
      </c>
      <c r="W51">
        <v>15</v>
      </c>
      <c r="X51" t="s">
        <v>462</v>
      </c>
      <c r="Z51" t="s">
        <v>462</v>
      </c>
      <c r="AG51" t="s">
        <v>462</v>
      </c>
      <c r="AH51" t="s">
        <v>733</v>
      </c>
      <c r="AI51" t="s">
        <v>519</v>
      </c>
      <c r="AJ51" t="s">
        <v>524</v>
      </c>
      <c r="AM51" t="s">
        <v>475</v>
      </c>
      <c r="AN51">
        <v>4</v>
      </c>
      <c r="AO51" t="s">
        <v>837</v>
      </c>
      <c r="AP51" t="s">
        <v>264</v>
      </c>
      <c r="AQ51" t="s">
        <v>264</v>
      </c>
      <c r="AT51">
        <v>3</v>
      </c>
      <c r="AU51">
        <v>6</v>
      </c>
      <c r="AV51">
        <v>9</v>
      </c>
      <c r="AX51" t="s">
        <v>218</v>
      </c>
      <c r="AY51" t="s">
        <v>463</v>
      </c>
      <c r="AZ51" t="s">
        <v>219</v>
      </c>
      <c r="BA51" t="s">
        <v>277</v>
      </c>
      <c r="BB51" t="s">
        <v>256</v>
      </c>
      <c r="BC51" t="s">
        <v>561</v>
      </c>
      <c r="BD51" t="s">
        <v>561</v>
      </c>
      <c r="BG51" t="s">
        <v>700</v>
      </c>
      <c r="BH51" t="s">
        <v>308</v>
      </c>
      <c r="BI51">
        <v>27</v>
      </c>
      <c r="BJ51" t="s">
        <v>562</v>
      </c>
      <c r="BK51" t="s">
        <v>562</v>
      </c>
      <c r="BL51" t="s">
        <v>222</v>
      </c>
      <c r="BM51" t="s">
        <v>562</v>
      </c>
      <c r="BR51"/>
      <c r="BS51"/>
      <c r="BU51" s="5"/>
      <c r="BV51" s="5"/>
      <c r="BX51"/>
      <c r="CA51" s="3"/>
      <c r="CB51" t="s">
        <v>524</v>
      </c>
      <c r="CC51" t="s">
        <v>412</v>
      </c>
      <c r="CE51" t="s">
        <v>437</v>
      </c>
      <c r="CF51" t="s">
        <v>226</v>
      </c>
      <c r="CI51" t="s">
        <v>639</v>
      </c>
      <c r="CJ51" t="s">
        <v>639</v>
      </c>
      <c r="CK51" t="s">
        <v>639</v>
      </c>
      <c r="CL51" t="s">
        <v>639</v>
      </c>
      <c r="CM51" t="s">
        <v>639</v>
      </c>
      <c r="CN51" t="s">
        <v>639</v>
      </c>
      <c r="CO51" t="s">
        <v>639</v>
      </c>
      <c r="CP51" t="s">
        <v>639</v>
      </c>
      <c r="CQ51" t="s">
        <v>409</v>
      </c>
      <c r="CR51" t="s">
        <v>639</v>
      </c>
      <c r="CS51" t="s">
        <v>639</v>
      </c>
      <c r="CT51" t="s">
        <v>240</v>
      </c>
      <c r="CU51" t="s">
        <v>240</v>
      </c>
      <c r="CV51" t="s">
        <v>7</v>
      </c>
      <c r="CW51" t="s">
        <v>751</v>
      </c>
      <c r="CX51" t="s">
        <v>746</v>
      </c>
      <c r="CY51" t="s">
        <v>241</v>
      </c>
      <c r="CZ51" t="s">
        <v>258</v>
      </c>
      <c r="DA51" t="s">
        <v>729</v>
      </c>
      <c r="DB51" t="s">
        <v>225</v>
      </c>
      <c r="DC51" t="s">
        <v>241</v>
      </c>
      <c r="DD51" t="s">
        <v>639</v>
      </c>
      <c r="DW51">
        <v>50</v>
      </c>
      <c r="DX51">
        <v>47</v>
      </c>
    </row>
    <row r="52" spans="1:128" x14ac:dyDescent="0.25">
      <c r="A52" t="s">
        <v>519</v>
      </c>
      <c r="B52" t="s">
        <v>479</v>
      </c>
      <c r="C52">
        <v>8</v>
      </c>
      <c r="D52" t="s">
        <v>784</v>
      </c>
      <c r="E52" t="s">
        <v>509</v>
      </c>
      <c r="F52" t="s">
        <v>340</v>
      </c>
      <c r="G52" t="s">
        <v>510</v>
      </c>
      <c r="H52" t="s">
        <v>511</v>
      </c>
      <c r="I52" t="s">
        <v>344</v>
      </c>
      <c r="N52">
        <v>100</v>
      </c>
      <c r="O52" t="s">
        <v>512</v>
      </c>
      <c r="P52" t="s">
        <v>232</v>
      </c>
      <c r="R52" t="s">
        <v>232</v>
      </c>
      <c r="S52">
        <v>80</v>
      </c>
      <c r="T52" t="s">
        <v>513</v>
      </c>
      <c r="U52">
        <v>45</v>
      </c>
      <c r="V52" t="s">
        <v>255</v>
      </c>
      <c r="W52">
        <v>15</v>
      </c>
      <c r="X52" t="s">
        <v>462</v>
      </c>
      <c r="Z52" t="s">
        <v>462</v>
      </c>
      <c r="AG52" t="s">
        <v>462</v>
      </c>
      <c r="AH52" t="s">
        <v>734</v>
      </c>
      <c r="AI52" t="s">
        <v>519</v>
      </c>
      <c r="AL52" t="s">
        <v>549</v>
      </c>
      <c r="AM52" t="s">
        <v>475</v>
      </c>
      <c r="AN52">
        <v>5</v>
      </c>
      <c r="AO52" t="s">
        <v>838</v>
      </c>
      <c r="AP52" t="s">
        <v>233</v>
      </c>
      <c r="AQ52" t="s">
        <v>550</v>
      </c>
      <c r="AT52">
        <v>100</v>
      </c>
      <c r="AU52">
        <v>9</v>
      </c>
      <c r="AV52">
        <v>109</v>
      </c>
      <c r="BG52" t="s">
        <v>550</v>
      </c>
      <c r="BH52" t="s">
        <v>308</v>
      </c>
      <c r="BN52" t="s">
        <v>549</v>
      </c>
      <c r="BO52">
        <v>6</v>
      </c>
      <c r="BP52">
        <v>0</v>
      </c>
      <c r="BQ52">
        <v>1</v>
      </c>
      <c r="BR52">
        <v>0.5</v>
      </c>
      <c r="BS52">
        <v>0.5</v>
      </c>
      <c r="BT52">
        <v>45</v>
      </c>
      <c r="BU52" s="5">
        <v>38</v>
      </c>
      <c r="BV52" s="5" t="s">
        <v>691</v>
      </c>
      <c r="BW52">
        <v>120</v>
      </c>
      <c r="BX52"/>
      <c r="CA52" s="3"/>
      <c r="DW52">
        <v>51</v>
      </c>
      <c r="DX52">
        <v>48</v>
      </c>
    </row>
    <row r="53" spans="1:128" x14ac:dyDescent="0.25">
      <c r="A53" t="s">
        <v>451</v>
      </c>
      <c r="B53" t="s">
        <v>478</v>
      </c>
      <c r="C53">
        <v>0</v>
      </c>
      <c r="D53"/>
      <c r="AH53" t="s">
        <v>481</v>
      </c>
      <c r="AI53" t="s">
        <v>451</v>
      </c>
      <c r="AM53" t="s">
        <v>475</v>
      </c>
      <c r="AN53">
        <v>1</v>
      </c>
      <c r="AO53" t="s">
        <v>839</v>
      </c>
      <c r="AP53" t="s">
        <v>303</v>
      </c>
      <c r="AU53">
        <v>0</v>
      </c>
      <c r="AV53">
        <v>0</v>
      </c>
      <c r="BR53"/>
      <c r="BS53"/>
      <c r="BU53" s="5"/>
      <c r="BV53" s="5"/>
      <c r="BX53"/>
      <c r="CA53" s="3"/>
      <c r="DW53">
        <v>52</v>
      </c>
      <c r="DX53">
        <v>49</v>
      </c>
    </row>
    <row r="54" spans="1:128" x14ac:dyDescent="0.25">
      <c r="A54" t="s">
        <v>2</v>
      </c>
      <c r="B54" t="s">
        <v>478</v>
      </c>
      <c r="C54">
        <v>1</v>
      </c>
      <c r="D54" t="s">
        <v>787</v>
      </c>
      <c r="AH54" t="s">
        <v>482</v>
      </c>
      <c r="AI54" t="s">
        <v>2</v>
      </c>
      <c r="AJ54" t="s">
        <v>3</v>
      </c>
      <c r="AM54" t="s">
        <v>475</v>
      </c>
      <c r="AN54">
        <v>1</v>
      </c>
      <c r="AO54" t="s">
        <v>840</v>
      </c>
      <c r="AP54" t="s">
        <v>303</v>
      </c>
      <c r="AT54">
        <v>8</v>
      </c>
      <c r="AU54">
        <v>0</v>
      </c>
      <c r="AV54">
        <v>8</v>
      </c>
      <c r="AY54" t="s">
        <v>574</v>
      </c>
      <c r="BR54"/>
      <c r="BS54"/>
      <c r="BU54" s="5"/>
      <c r="BV54" s="5"/>
      <c r="BX54"/>
      <c r="CA54" s="3"/>
      <c r="CB54" t="s">
        <v>3</v>
      </c>
      <c r="CC54" t="s">
        <v>239</v>
      </c>
      <c r="CE54" t="s">
        <v>239</v>
      </c>
      <c r="CF54" t="s">
        <v>244</v>
      </c>
      <c r="CI54" t="s">
        <v>467</v>
      </c>
      <c r="CJ54" t="s">
        <v>467</v>
      </c>
      <c r="CK54" t="s">
        <v>467</v>
      </c>
      <c r="CL54" t="s">
        <v>467</v>
      </c>
      <c r="CM54" t="s">
        <v>467</v>
      </c>
      <c r="CN54" t="s">
        <v>467</v>
      </c>
      <c r="CO54" t="s">
        <v>467</v>
      </c>
      <c r="CP54" t="s">
        <v>467</v>
      </c>
      <c r="CQ54" t="s">
        <v>408</v>
      </c>
      <c r="CR54" t="s">
        <v>467</v>
      </c>
      <c r="CS54" t="s">
        <v>467</v>
      </c>
      <c r="CT54" t="s">
        <v>223</v>
      </c>
      <c r="CU54" t="s">
        <v>223</v>
      </c>
      <c r="CV54" t="s">
        <v>241</v>
      </c>
      <c r="CW54" t="s">
        <v>774</v>
      </c>
      <c r="CX54" t="s">
        <v>745</v>
      </c>
      <c r="CY54" t="s">
        <v>7</v>
      </c>
      <c r="CZ54" t="s">
        <v>271</v>
      </c>
      <c r="DA54" t="s">
        <v>773</v>
      </c>
      <c r="DB54" t="s">
        <v>729</v>
      </c>
      <c r="DC54" t="s">
        <v>7</v>
      </c>
      <c r="DD54" t="s">
        <v>467</v>
      </c>
      <c r="DF54" t="s">
        <v>241</v>
      </c>
      <c r="DI54" t="s">
        <v>357</v>
      </c>
      <c r="DJ54" t="s">
        <v>299</v>
      </c>
      <c r="DL54" t="s">
        <v>358</v>
      </c>
      <c r="DM54" t="s">
        <v>357</v>
      </c>
      <c r="DN54" t="s">
        <v>359</v>
      </c>
      <c r="DP54" t="s">
        <v>450</v>
      </c>
      <c r="DQ54" t="s">
        <v>597</v>
      </c>
      <c r="DR54" t="s">
        <v>222</v>
      </c>
      <c r="DT54" t="s">
        <v>625</v>
      </c>
      <c r="DU54" t="s">
        <v>626</v>
      </c>
      <c r="DW54">
        <v>53</v>
      </c>
      <c r="DX54">
        <v>50</v>
      </c>
    </row>
    <row r="55" spans="1:128" x14ac:dyDescent="0.25">
      <c r="A55" t="s">
        <v>2</v>
      </c>
      <c r="B55" t="s">
        <v>478</v>
      </c>
      <c r="C55">
        <v>1</v>
      </c>
      <c r="D55" t="s">
        <v>787</v>
      </c>
      <c r="AH55" t="s">
        <v>637</v>
      </c>
      <c r="AI55" t="s">
        <v>2</v>
      </c>
      <c r="AJ55" t="s">
        <v>3</v>
      </c>
      <c r="AM55" t="s">
        <v>475</v>
      </c>
      <c r="AN55">
        <v>2</v>
      </c>
      <c r="AO55" t="s">
        <v>841</v>
      </c>
      <c r="AP55" t="s">
        <v>303</v>
      </c>
      <c r="AY55" t="s">
        <v>552</v>
      </c>
      <c r="BR55"/>
      <c r="BS55"/>
      <c r="BU55" s="5"/>
      <c r="BV55" s="5"/>
      <c r="BX55"/>
      <c r="CA55" s="3"/>
      <c r="CB55" t="s">
        <v>3</v>
      </c>
      <c r="CC55" t="s">
        <v>239</v>
      </c>
      <c r="CE55" t="s">
        <v>239</v>
      </c>
      <c r="CF55" t="s">
        <v>244</v>
      </c>
      <c r="CI55" t="s">
        <v>467</v>
      </c>
      <c r="CJ55" t="s">
        <v>467</v>
      </c>
      <c r="CK55" t="s">
        <v>467</v>
      </c>
      <c r="CL55" t="s">
        <v>467</v>
      </c>
      <c r="CM55" t="s">
        <v>467</v>
      </c>
      <c r="CN55" t="s">
        <v>467</v>
      </c>
      <c r="CO55" t="s">
        <v>467</v>
      </c>
      <c r="CP55" t="s">
        <v>467</v>
      </c>
      <c r="CQ55" t="s">
        <v>408</v>
      </c>
      <c r="CR55" t="s">
        <v>467</v>
      </c>
      <c r="CS55" t="s">
        <v>467</v>
      </c>
      <c r="CT55" t="s">
        <v>223</v>
      </c>
      <c r="CU55" t="s">
        <v>223</v>
      </c>
      <c r="CV55" t="s">
        <v>241</v>
      </c>
      <c r="CW55" t="s">
        <v>774</v>
      </c>
      <c r="CX55" t="s">
        <v>745</v>
      </c>
      <c r="CY55" t="s">
        <v>7</v>
      </c>
      <c r="CZ55" t="s">
        <v>271</v>
      </c>
      <c r="DA55" t="s">
        <v>773</v>
      </c>
      <c r="DB55" t="s">
        <v>729</v>
      </c>
      <c r="DC55" t="s">
        <v>7</v>
      </c>
      <c r="DD55" t="s">
        <v>467</v>
      </c>
      <c r="DF55" t="s">
        <v>241</v>
      </c>
      <c r="DI55" t="s">
        <v>357</v>
      </c>
      <c r="DJ55" t="s">
        <v>299</v>
      </c>
      <c r="DL55" t="s">
        <v>358</v>
      </c>
      <c r="DM55" t="s">
        <v>357</v>
      </c>
      <c r="DN55" t="s">
        <v>359</v>
      </c>
      <c r="DP55" t="s">
        <v>450</v>
      </c>
      <c r="DQ55" t="s">
        <v>598</v>
      </c>
      <c r="DR55" t="s">
        <v>193</v>
      </c>
      <c r="DW55">
        <v>54</v>
      </c>
      <c r="DX55">
        <v>51</v>
      </c>
    </row>
    <row r="56" spans="1:128" x14ac:dyDescent="0.25">
      <c r="A56" t="s">
        <v>583</v>
      </c>
      <c r="B56" t="s">
        <v>478</v>
      </c>
      <c r="C56">
        <v>10</v>
      </c>
      <c r="D56" t="s">
        <v>787</v>
      </c>
      <c r="AH56" t="s">
        <v>674</v>
      </c>
      <c r="AI56" t="s">
        <v>583</v>
      </c>
      <c r="AM56" t="s">
        <v>475</v>
      </c>
      <c r="AN56">
        <v>1</v>
      </c>
      <c r="AO56" t="s">
        <v>842</v>
      </c>
      <c r="AP56" t="s">
        <v>303</v>
      </c>
      <c r="AT56">
        <v>0.4</v>
      </c>
      <c r="AU56">
        <v>0</v>
      </c>
      <c r="AV56">
        <v>0.4</v>
      </c>
      <c r="AY56" t="s">
        <v>622</v>
      </c>
      <c r="BR56"/>
      <c r="BS56"/>
      <c r="BU56" s="5"/>
      <c r="BV56" s="5"/>
      <c r="BX56"/>
      <c r="CA56" s="3"/>
      <c r="DI56" t="s">
        <v>362</v>
      </c>
      <c r="DJ56" t="s">
        <v>299</v>
      </c>
      <c r="DL56" t="s">
        <v>358</v>
      </c>
      <c r="DN56" t="s">
        <v>363</v>
      </c>
      <c r="DO56" t="s">
        <v>591</v>
      </c>
      <c r="DP56" t="s">
        <v>592</v>
      </c>
      <c r="DQ56" t="s">
        <v>618</v>
      </c>
      <c r="DR56" t="s">
        <v>222</v>
      </c>
      <c r="DU56" t="s">
        <v>370</v>
      </c>
      <c r="DV56" t="s">
        <v>371</v>
      </c>
      <c r="DW56">
        <v>55</v>
      </c>
      <c r="DX56">
        <v>52</v>
      </c>
    </row>
    <row r="57" spans="1:128" x14ac:dyDescent="0.25">
      <c r="A57" t="s">
        <v>583</v>
      </c>
      <c r="B57" t="s">
        <v>478</v>
      </c>
      <c r="C57">
        <v>10</v>
      </c>
      <c r="D57" t="s">
        <v>787</v>
      </c>
      <c r="AH57" t="s">
        <v>675</v>
      </c>
      <c r="AI57" t="s">
        <v>583</v>
      </c>
      <c r="AJ57" t="s">
        <v>596</v>
      </c>
      <c r="AM57" t="s">
        <v>475</v>
      </c>
      <c r="AN57">
        <v>2</v>
      </c>
      <c r="AO57" t="s">
        <v>843</v>
      </c>
      <c r="AP57" t="s">
        <v>303</v>
      </c>
      <c r="AT57">
        <v>0.2</v>
      </c>
      <c r="AY57" t="s">
        <v>572</v>
      </c>
      <c r="BR57"/>
      <c r="BS57"/>
      <c r="BU57" s="5"/>
      <c r="BV57" s="5"/>
      <c r="BX57"/>
      <c r="CA57" s="3"/>
      <c r="CB57" t="s">
        <v>596</v>
      </c>
      <c r="CC57" t="s">
        <v>6</v>
      </c>
      <c r="CE57" t="s">
        <v>6</v>
      </c>
      <c r="CI57" t="s">
        <v>669</v>
      </c>
      <c r="CJ57" t="s">
        <v>669</v>
      </c>
      <c r="CK57" t="s">
        <v>669</v>
      </c>
      <c r="CL57" t="s">
        <v>669</v>
      </c>
      <c r="CM57" t="s">
        <v>669</v>
      </c>
      <c r="CN57" t="s">
        <v>669</v>
      </c>
      <c r="CO57" t="s">
        <v>669</v>
      </c>
      <c r="CP57" t="s">
        <v>669</v>
      </c>
      <c r="CQ57" t="s">
        <v>408</v>
      </c>
      <c r="CR57" t="s">
        <v>669</v>
      </c>
      <c r="CS57" t="s">
        <v>669</v>
      </c>
      <c r="CT57" t="s">
        <v>223</v>
      </c>
      <c r="CU57" t="s">
        <v>223</v>
      </c>
      <c r="CW57" t="s">
        <v>769</v>
      </c>
      <c r="CX57" t="s">
        <v>760</v>
      </c>
      <c r="CY57" t="s">
        <v>7</v>
      </c>
      <c r="DB57" t="s">
        <v>225</v>
      </c>
      <c r="DD57" t="s">
        <v>669</v>
      </c>
      <c r="DI57" t="s">
        <v>362</v>
      </c>
      <c r="DJ57" t="s">
        <v>299</v>
      </c>
      <c r="DL57" t="s">
        <v>358</v>
      </c>
      <c r="DN57" t="s">
        <v>363</v>
      </c>
      <c r="DO57" t="s">
        <v>591</v>
      </c>
      <c r="DP57" t="s">
        <v>592</v>
      </c>
      <c r="DQ57" t="s">
        <v>610</v>
      </c>
      <c r="DR57" t="s">
        <v>222</v>
      </c>
      <c r="DT57" t="s">
        <v>633</v>
      </c>
      <c r="DU57" t="s">
        <v>369</v>
      </c>
      <c r="DV57" t="s">
        <v>371</v>
      </c>
      <c r="DW57">
        <v>56</v>
      </c>
      <c r="DX57">
        <v>53</v>
      </c>
    </row>
    <row r="58" spans="1:128" x14ac:dyDescent="0.25">
      <c r="A58" t="s">
        <v>583</v>
      </c>
      <c r="B58" t="s">
        <v>478</v>
      </c>
      <c r="C58">
        <v>10</v>
      </c>
      <c r="D58" t="s">
        <v>787</v>
      </c>
      <c r="AH58" t="s">
        <v>673</v>
      </c>
      <c r="AI58" t="s">
        <v>583</v>
      </c>
      <c r="AJ58" t="s">
        <v>596</v>
      </c>
      <c r="AM58" t="s">
        <v>475</v>
      </c>
      <c r="AN58">
        <v>3</v>
      </c>
      <c r="AO58" t="s">
        <v>844</v>
      </c>
      <c r="AP58" t="s">
        <v>303</v>
      </c>
      <c r="AT58">
        <v>8.5</v>
      </c>
      <c r="AY58" t="s">
        <v>572</v>
      </c>
      <c r="BR58"/>
      <c r="BS58"/>
      <c r="BU58" s="5"/>
      <c r="BV58" s="5"/>
      <c r="BX58"/>
      <c r="CA58" s="3"/>
      <c r="CB58" t="s">
        <v>596</v>
      </c>
      <c r="CC58" t="s">
        <v>6</v>
      </c>
      <c r="CE58" t="s">
        <v>6</v>
      </c>
      <c r="CI58" t="s">
        <v>669</v>
      </c>
      <c r="CJ58" t="s">
        <v>669</v>
      </c>
      <c r="CK58" t="s">
        <v>669</v>
      </c>
      <c r="CL58" t="s">
        <v>669</v>
      </c>
      <c r="CM58" t="s">
        <v>669</v>
      </c>
      <c r="CN58" t="s">
        <v>669</v>
      </c>
      <c r="CO58" t="s">
        <v>669</v>
      </c>
      <c r="CP58" t="s">
        <v>669</v>
      </c>
      <c r="CQ58" t="s">
        <v>408</v>
      </c>
      <c r="CR58" t="s">
        <v>669</v>
      </c>
      <c r="CS58" t="s">
        <v>669</v>
      </c>
      <c r="CT58" t="s">
        <v>223</v>
      </c>
      <c r="CU58" t="s">
        <v>223</v>
      </c>
      <c r="CW58" t="s">
        <v>769</v>
      </c>
      <c r="CX58" t="s">
        <v>760</v>
      </c>
      <c r="CY58" t="s">
        <v>7</v>
      </c>
      <c r="DB58" t="s">
        <v>225</v>
      </c>
      <c r="DD58" t="s">
        <v>669</v>
      </c>
      <c r="DI58" t="s">
        <v>362</v>
      </c>
      <c r="DJ58" t="s">
        <v>299</v>
      </c>
      <c r="DL58" t="s">
        <v>358</v>
      </c>
      <c r="DN58" t="s">
        <v>363</v>
      </c>
      <c r="DO58" t="s">
        <v>591</v>
      </c>
      <c r="DP58" t="s">
        <v>592</v>
      </c>
      <c r="DQ58" t="s">
        <v>623</v>
      </c>
      <c r="DR58" t="s">
        <v>222</v>
      </c>
      <c r="DW58">
        <v>57</v>
      </c>
      <c r="DX58">
        <v>54</v>
      </c>
    </row>
    <row r="59" spans="1:128" x14ac:dyDescent="0.25">
      <c r="A59" t="s">
        <v>583</v>
      </c>
      <c r="B59" t="s">
        <v>478</v>
      </c>
      <c r="C59">
        <v>10</v>
      </c>
      <c r="D59" t="s">
        <v>787</v>
      </c>
      <c r="AH59" t="s">
        <v>671</v>
      </c>
      <c r="AI59" t="s">
        <v>583</v>
      </c>
      <c r="AJ59" t="s">
        <v>596</v>
      </c>
      <c r="AM59" t="s">
        <v>475</v>
      </c>
      <c r="AN59">
        <v>4</v>
      </c>
      <c r="AO59" t="s">
        <v>845</v>
      </c>
      <c r="AP59" t="s">
        <v>303</v>
      </c>
      <c r="AT59">
        <v>0.2</v>
      </c>
      <c r="AY59" t="s">
        <v>552</v>
      </c>
      <c r="BR59"/>
      <c r="BS59"/>
      <c r="BU59" s="5"/>
      <c r="BV59" s="5"/>
      <c r="BX59"/>
      <c r="CA59" s="3"/>
      <c r="CB59" t="s">
        <v>596</v>
      </c>
      <c r="CC59" t="s">
        <v>6</v>
      </c>
      <c r="CE59" t="s">
        <v>6</v>
      </c>
      <c r="CI59" t="s">
        <v>669</v>
      </c>
      <c r="CJ59" t="s">
        <v>669</v>
      </c>
      <c r="CK59" t="s">
        <v>669</v>
      </c>
      <c r="CL59" t="s">
        <v>669</v>
      </c>
      <c r="CM59" t="s">
        <v>669</v>
      </c>
      <c r="CN59" t="s">
        <v>669</v>
      </c>
      <c r="CO59" t="s">
        <v>669</v>
      </c>
      <c r="CP59" t="s">
        <v>669</v>
      </c>
      <c r="CQ59" t="s">
        <v>408</v>
      </c>
      <c r="CR59" t="s">
        <v>669</v>
      </c>
      <c r="CS59" t="s">
        <v>669</v>
      </c>
      <c r="CT59" t="s">
        <v>223</v>
      </c>
      <c r="CU59" t="s">
        <v>223</v>
      </c>
      <c r="CW59" t="s">
        <v>769</v>
      </c>
      <c r="CX59" t="s">
        <v>760</v>
      </c>
      <c r="CY59" t="s">
        <v>7</v>
      </c>
      <c r="DB59" t="s">
        <v>225</v>
      </c>
      <c r="DD59" t="s">
        <v>669</v>
      </c>
      <c r="DI59" t="s">
        <v>362</v>
      </c>
      <c r="DJ59" t="s">
        <v>299</v>
      </c>
      <c r="DL59" t="s">
        <v>358</v>
      </c>
      <c r="DN59" t="s">
        <v>363</v>
      </c>
      <c r="DO59" t="s">
        <v>591</v>
      </c>
      <c r="DP59" t="s">
        <v>592</v>
      </c>
      <c r="DQ59" t="s">
        <v>624</v>
      </c>
      <c r="DR59" t="s">
        <v>222</v>
      </c>
      <c r="DT59" t="s">
        <v>85</v>
      </c>
      <c r="DU59" t="s">
        <v>636</v>
      </c>
      <c r="DW59">
        <v>58</v>
      </c>
      <c r="DX59">
        <v>55</v>
      </c>
    </row>
    <row r="60" spans="1:128" x14ac:dyDescent="0.25">
      <c r="A60" t="s">
        <v>583</v>
      </c>
      <c r="B60" t="s">
        <v>478</v>
      </c>
      <c r="C60">
        <v>10</v>
      </c>
      <c r="D60" t="s">
        <v>787</v>
      </c>
      <c r="AH60" t="s">
        <v>672</v>
      </c>
      <c r="AI60" t="s">
        <v>583</v>
      </c>
      <c r="AM60" t="s">
        <v>475</v>
      </c>
      <c r="AN60">
        <v>5</v>
      </c>
      <c r="AO60" t="s">
        <v>846</v>
      </c>
      <c r="AP60" t="s">
        <v>303</v>
      </c>
      <c r="AY60" t="s">
        <v>572</v>
      </c>
      <c r="BR60"/>
      <c r="BS60"/>
      <c r="BU60" s="5"/>
      <c r="BV60" s="5"/>
      <c r="BX60"/>
      <c r="CA60" s="3"/>
      <c r="DI60" t="s">
        <v>362</v>
      </c>
      <c r="DJ60" t="s">
        <v>299</v>
      </c>
      <c r="DL60" t="s">
        <v>358</v>
      </c>
      <c r="DN60" t="s">
        <v>363</v>
      </c>
      <c r="DO60" t="s">
        <v>591</v>
      </c>
      <c r="DP60" t="s">
        <v>592</v>
      </c>
      <c r="DQ60" t="s">
        <v>449</v>
      </c>
      <c r="DW60">
        <v>59</v>
      </c>
      <c r="DX60">
        <v>56</v>
      </c>
    </row>
    <row r="61" spans="1:128" x14ac:dyDescent="0.25">
      <c r="A61" t="s">
        <v>575</v>
      </c>
      <c r="B61" t="s">
        <v>478</v>
      </c>
      <c r="C61">
        <v>2</v>
      </c>
      <c r="D61" t="s">
        <v>787</v>
      </c>
      <c r="AH61" t="s">
        <v>638</v>
      </c>
      <c r="AI61" t="s">
        <v>575</v>
      </c>
      <c r="AJ61" t="s">
        <v>524</v>
      </c>
      <c r="AM61" t="s">
        <v>475</v>
      </c>
      <c r="AN61">
        <v>1</v>
      </c>
      <c r="AO61" t="s">
        <v>847</v>
      </c>
      <c r="AP61" t="s">
        <v>303</v>
      </c>
      <c r="AT61">
        <v>0.5</v>
      </c>
      <c r="AU61">
        <v>0</v>
      </c>
      <c r="AV61">
        <v>0.5</v>
      </c>
      <c r="AY61" t="s">
        <v>600</v>
      </c>
      <c r="BR61"/>
      <c r="BS61"/>
      <c r="BU61" s="5"/>
      <c r="BV61" s="5"/>
      <c r="BX61"/>
      <c r="CA61" s="3"/>
      <c r="CB61" t="s">
        <v>524</v>
      </c>
      <c r="CC61" t="s">
        <v>412</v>
      </c>
      <c r="CE61" t="s">
        <v>437</v>
      </c>
      <c r="CF61" t="s">
        <v>226</v>
      </c>
      <c r="CI61" t="s">
        <v>639</v>
      </c>
      <c r="CJ61" t="s">
        <v>639</v>
      </c>
      <c r="CK61" t="s">
        <v>639</v>
      </c>
      <c r="CL61" t="s">
        <v>639</v>
      </c>
      <c r="CM61" t="s">
        <v>639</v>
      </c>
      <c r="CN61" t="s">
        <v>639</v>
      </c>
      <c r="CO61" t="s">
        <v>639</v>
      </c>
      <c r="CP61" t="s">
        <v>639</v>
      </c>
      <c r="CQ61" t="s">
        <v>409</v>
      </c>
      <c r="CR61" t="s">
        <v>639</v>
      </c>
      <c r="CS61" t="s">
        <v>639</v>
      </c>
      <c r="CT61" t="s">
        <v>240</v>
      </c>
      <c r="CU61" t="s">
        <v>240</v>
      </c>
      <c r="CV61" t="s">
        <v>7</v>
      </c>
      <c r="CW61" t="s">
        <v>751</v>
      </c>
      <c r="CX61" t="s">
        <v>746</v>
      </c>
      <c r="CY61" t="s">
        <v>241</v>
      </c>
      <c r="CZ61" t="s">
        <v>258</v>
      </c>
      <c r="DA61" t="s">
        <v>729</v>
      </c>
      <c r="DB61" t="s">
        <v>225</v>
      </c>
      <c r="DC61" t="s">
        <v>241</v>
      </c>
      <c r="DD61" t="s">
        <v>639</v>
      </c>
      <c r="DI61" t="s">
        <v>357</v>
      </c>
      <c r="DJ61" t="s">
        <v>299</v>
      </c>
      <c r="DL61" t="s">
        <v>358</v>
      </c>
      <c r="DM61" t="s">
        <v>357</v>
      </c>
      <c r="DN61" t="s">
        <v>359</v>
      </c>
      <c r="DP61" t="s">
        <v>584</v>
      </c>
      <c r="DQ61" t="s">
        <v>599</v>
      </c>
      <c r="DR61" t="s">
        <v>222</v>
      </c>
      <c r="DT61" t="s">
        <v>85</v>
      </c>
      <c r="DU61" t="s">
        <v>366</v>
      </c>
      <c r="DW61">
        <v>60</v>
      </c>
      <c r="DX61">
        <v>57</v>
      </c>
    </row>
    <row r="62" spans="1:128" x14ac:dyDescent="0.25">
      <c r="A62" t="s">
        <v>575</v>
      </c>
      <c r="B62" t="s">
        <v>478</v>
      </c>
      <c r="C62">
        <v>2</v>
      </c>
      <c r="D62" t="s">
        <v>787</v>
      </c>
      <c r="AH62" t="s">
        <v>640</v>
      </c>
      <c r="AI62" t="s">
        <v>575</v>
      </c>
      <c r="AJ62" t="s">
        <v>526</v>
      </c>
      <c r="AM62" t="s">
        <v>475</v>
      </c>
      <c r="AN62">
        <v>2</v>
      </c>
      <c r="AO62" t="s">
        <v>848</v>
      </c>
      <c r="AP62" t="s">
        <v>303</v>
      </c>
      <c r="AT62">
        <v>0.5</v>
      </c>
      <c r="AY62" t="s">
        <v>552</v>
      </c>
      <c r="BR62"/>
      <c r="BS62"/>
      <c r="BU62" s="5"/>
      <c r="BV62" s="5"/>
      <c r="BX62"/>
      <c r="CA62" s="3"/>
      <c r="CB62" t="s">
        <v>526</v>
      </c>
      <c r="CC62" t="s">
        <v>437</v>
      </c>
      <c r="CE62" t="s">
        <v>239</v>
      </c>
      <c r="CF62" t="s">
        <v>226</v>
      </c>
      <c r="CG62" t="s">
        <v>226</v>
      </c>
      <c r="CI62" t="s">
        <v>641</v>
      </c>
      <c r="CJ62" t="s">
        <v>641</v>
      </c>
      <c r="CK62" t="s">
        <v>641</v>
      </c>
      <c r="CL62" t="s">
        <v>641</v>
      </c>
      <c r="CM62" t="s">
        <v>641</v>
      </c>
      <c r="CN62" t="s">
        <v>641</v>
      </c>
      <c r="CO62" t="s">
        <v>641</v>
      </c>
      <c r="CP62" t="s">
        <v>641</v>
      </c>
      <c r="CQ62" t="s">
        <v>408</v>
      </c>
      <c r="CR62" t="s">
        <v>641</v>
      </c>
      <c r="CS62" t="s">
        <v>641</v>
      </c>
      <c r="CT62" t="s">
        <v>257</v>
      </c>
      <c r="CU62" t="s">
        <v>257</v>
      </c>
      <c r="CV62" t="s">
        <v>241</v>
      </c>
      <c r="CW62" t="s">
        <v>761</v>
      </c>
      <c r="CX62" t="s">
        <v>752</v>
      </c>
      <c r="CY62" t="s">
        <v>7</v>
      </c>
      <c r="CZ62" t="s">
        <v>242</v>
      </c>
      <c r="DA62" t="s">
        <v>730</v>
      </c>
      <c r="DC62" t="s">
        <v>7</v>
      </c>
      <c r="DD62" t="s">
        <v>641</v>
      </c>
      <c r="DI62" t="s">
        <v>357</v>
      </c>
      <c r="DJ62" t="s">
        <v>299</v>
      </c>
      <c r="DL62" t="s">
        <v>358</v>
      </c>
      <c r="DM62" t="s">
        <v>357</v>
      </c>
      <c r="DN62" t="s">
        <v>359</v>
      </c>
      <c r="DP62" t="s">
        <v>584</v>
      </c>
      <c r="DQ62" t="s">
        <v>598</v>
      </c>
      <c r="DR62" t="s">
        <v>222</v>
      </c>
      <c r="DT62" t="s">
        <v>627</v>
      </c>
      <c r="DU62" t="s">
        <v>366</v>
      </c>
      <c r="DW62">
        <v>61</v>
      </c>
      <c r="DX62">
        <v>58</v>
      </c>
    </row>
    <row r="63" spans="1:128" x14ac:dyDescent="0.25">
      <c r="A63" t="s">
        <v>575</v>
      </c>
      <c r="B63" t="s">
        <v>478</v>
      </c>
      <c r="C63">
        <v>2</v>
      </c>
      <c r="D63" t="s">
        <v>787</v>
      </c>
      <c r="AH63" t="s">
        <v>643</v>
      </c>
      <c r="AI63" t="s">
        <v>575</v>
      </c>
      <c r="AM63" t="s">
        <v>475</v>
      </c>
      <c r="AN63">
        <v>3</v>
      </c>
      <c r="AO63" t="s">
        <v>849</v>
      </c>
      <c r="AP63" t="s">
        <v>303</v>
      </c>
      <c r="AT63">
        <v>4</v>
      </c>
      <c r="AY63" t="s">
        <v>448</v>
      </c>
      <c r="BR63"/>
      <c r="BS63"/>
      <c r="BU63" s="5"/>
      <c r="BV63" s="5"/>
      <c r="BX63"/>
      <c r="CA63" s="3"/>
      <c r="DI63" t="s">
        <v>357</v>
      </c>
      <c r="DJ63" t="s">
        <v>299</v>
      </c>
      <c r="DL63" t="s">
        <v>358</v>
      </c>
      <c r="DM63" t="s">
        <v>357</v>
      </c>
      <c r="DN63" t="s">
        <v>359</v>
      </c>
      <c r="DP63" t="s">
        <v>584</v>
      </c>
      <c r="DQ63" t="s">
        <v>601</v>
      </c>
      <c r="DR63" t="s">
        <v>222</v>
      </c>
      <c r="DU63" t="s">
        <v>628</v>
      </c>
      <c r="DW63">
        <v>62</v>
      </c>
      <c r="DX63">
        <v>59</v>
      </c>
    </row>
    <row r="64" spans="1:128" x14ac:dyDescent="0.25">
      <c r="A64" t="s">
        <v>575</v>
      </c>
      <c r="B64" t="s">
        <v>478</v>
      </c>
      <c r="C64">
        <v>2</v>
      </c>
      <c r="D64" t="s">
        <v>787</v>
      </c>
      <c r="AH64" t="s">
        <v>642</v>
      </c>
      <c r="AI64" t="s">
        <v>575</v>
      </c>
      <c r="AM64" t="s">
        <v>475</v>
      </c>
      <c r="AN64">
        <v>4</v>
      </c>
      <c r="AO64" t="s">
        <v>850</v>
      </c>
      <c r="AP64" t="s">
        <v>303</v>
      </c>
      <c r="AT64">
        <v>0.2</v>
      </c>
      <c r="AY64" t="s">
        <v>552</v>
      </c>
      <c r="BR64"/>
      <c r="BS64"/>
      <c r="BU64" s="5"/>
      <c r="BV64" s="5"/>
      <c r="BX64"/>
      <c r="CA64" s="3"/>
      <c r="DI64" t="s">
        <v>357</v>
      </c>
      <c r="DJ64" t="s">
        <v>299</v>
      </c>
      <c r="DL64" t="s">
        <v>358</v>
      </c>
      <c r="DM64" t="s">
        <v>357</v>
      </c>
      <c r="DN64" t="s">
        <v>359</v>
      </c>
      <c r="DP64" t="s">
        <v>584</v>
      </c>
      <c r="DQ64" t="s">
        <v>602</v>
      </c>
      <c r="DR64" t="s">
        <v>222</v>
      </c>
      <c r="DS64" t="s">
        <v>629</v>
      </c>
      <c r="DU64" t="s">
        <v>366</v>
      </c>
      <c r="DW64">
        <v>63</v>
      </c>
      <c r="DX64">
        <v>60</v>
      </c>
    </row>
    <row r="65" spans="1:128" x14ac:dyDescent="0.25">
      <c r="A65" t="s">
        <v>575</v>
      </c>
      <c r="B65" t="s">
        <v>478</v>
      </c>
      <c r="C65">
        <v>2</v>
      </c>
      <c r="D65" t="s">
        <v>787</v>
      </c>
      <c r="AH65" t="s">
        <v>645</v>
      </c>
      <c r="AI65" t="s">
        <v>575</v>
      </c>
      <c r="AM65" t="s">
        <v>475</v>
      </c>
      <c r="AN65">
        <v>5</v>
      </c>
      <c r="AO65" t="s">
        <v>851</v>
      </c>
      <c r="AP65" t="s">
        <v>303</v>
      </c>
      <c r="AT65">
        <v>0.6</v>
      </c>
      <c r="BR65"/>
      <c r="BS65"/>
      <c r="BU65" s="5"/>
      <c r="BV65" s="5"/>
      <c r="BX65"/>
      <c r="CA65" s="3"/>
      <c r="DI65" t="s">
        <v>357</v>
      </c>
      <c r="DJ65" t="s">
        <v>299</v>
      </c>
      <c r="DL65" t="s">
        <v>358</v>
      </c>
      <c r="DM65" t="s">
        <v>357</v>
      </c>
      <c r="DN65" t="s">
        <v>359</v>
      </c>
      <c r="DP65" t="s">
        <v>584</v>
      </c>
      <c r="DQ65" t="s">
        <v>603</v>
      </c>
      <c r="DW65">
        <v>64</v>
      </c>
      <c r="DX65">
        <v>61</v>
      </c>
    </row>
    <row r="66" spans="1:128" x14ac:dyDescent="0.25">
      <c r="A66" t="s">
        <v>575</v>
      </c>
      <c r="B66" t="s">
        <v>478</v>
      </c>
      <c r="C66">
        <v>2</v>
      </c>
      <c r="D66" t="s">
        <v>787</v>
      </c>
      <c r="AH66" t="s">
        <v>644</v>
      </c>
      <c r="AI66" t="s">
        <v>575</v>
      </c>
      <c r="AM66" t="s">
        <v>475</v>
      </c>
      <c r="AN66">
        <v>6</v>
      </c>
      <c r="AO66" t="s">
        <v>852</v>
      </c>
      <c r="AP66" t="s">
        <v>303</v>
      </c>
      <c r="AY66" t="s">
        <v>572</v>
      </c>
      <c r="BR66"/>
      <c r="BS66"/>
      <c r="BU66" s="5"/>
      <c r="BV66" s="5"/>
      <c r="BX66"/>
      <c r="CA66" s="3"/>
      <c r="DI66" t="s">
        <v>357</v>
      </c>
      <c r="DJ66" t="s">
        <v>299</v>
      </c>
      <c r="DL66" t="s">
        <v>358</v>
      </c>
      <c r="DM66" t="s">
        <v>357</v>
      </c>
      <c r="DN66" t="s">
        <v>359</v>
      </c>
      <c r="DP66" t="s">
        <v>584</v>
      </c>
      <c r="DQ66" t="s">
        <v>604</v>
      </c>
      <c r="DW66">
        <v>65</v>
      </c>
      <c r="DX66">
        <v>62</v>
      </c>
    </row>
    <row r="67" spans="1:128" x14ac:dyDescent="0.25">
      <c r="A67" t="s">
        <v>576</v>
      </c>
      <c r="B67" t="s">
        <v>478</v>
      </c>
      <c r="C67">
        <v>3</v>
      </c>
      <c r="D67" t="s">
        <v>787</v>
      </c>
      <c r="AH67" t="s">
        <v>649</v>
      </c>
      <c r="AI67" t="s">
        <v>576</v>
      </c>
      <c r="AJ67" t="s">
        <v>526</v>
      </c>
      <c r="AM67" t="s">
        <v>475</v>
      </c>
      <c r="AN67">
        <v>1</v>
      </c>
      <c r="AO67" t="s">
        <v>853</v>
      </c>
      <c r="AP67" t="s">
        <v>303</v>
      </c>
      <c r="AT67">
        <v>3</v>
      </c>
      <c r="AU67">
        <v>0</v>
      </c>
      <c r="AV67">
        <v>3</v>
      </c>
      <c r="AY67" t="s">
        <v>353</v>
      </c>
      <c r="BR67"/>
      <c r="BS67"/>
      <c r="BU67" s="5"/>
      <c r="BV67" s="5"/>
      <c r="BX67"/>
      <c r="CA67" s="3"/>
      <c r="CB67" t="s">
        <v>526</v>
      </c>
      <c r="CC67" t="s">
        <v>437</v>
      </c>
      <c r="CE67" t="s">
        <v>239</v>
      </c>
      <c r="CF67" t="s">
        <v>226</v>
      </c>
      <c r="CG67" t="s">
        <v>226</v>
      </c>
      <c r="CI67" t="s">
        <v>641</v>
      </c>
      <c r="CJ67" t="s">
        <v>641</v>
      </c>
      <c r="CK67" t="s">
        <v>641</v>
      </c>
      <c r="CL67" t="s">
        <v>641</v>
      </c>
      <c r="CM67" t="s">
        <v>641</v>
      </c>
      <c r="CN67" t="s">
        <v>641</v>
      </c>
      <c r="CO67" t="s">
        <v>641</v>
      </c>
      <c r="CP67" t="s">
        <v>641</v>
      </c>
      <c r="CQ67" t="s">
        <v>408</v>
      </c>
      <c r="CR67" t="s">
        <v>641</v>
      </c>
      <c r="CS67" t="s">
        <v>641</v>
      </c>
      <c r="CT67" t="s">
        <v>257</v>
      </c>
      <c r="CU67" t="s">
        <v>257</v>
      </c>
      <c r="CV67" t="s">
        <v>241</v>
      </c>
      <c r="CW67" t="s">
        <v>761</v>
      </c>
      <c r="CX67" t="s">
        <v>752</v>
      </c>
      <c r="CY67" t="s">
        <v>7</v>
      </c>
      <c r="CZ67" t="s">
        <v>242</v>
      </c>
      <c r="DA67" t="s">
        <v>730</v>
      </c>
      <c r="DC67" t="s">
        <v>7</v>
      </c>
      <c r="DD67" t="s">
        <v>641</v>
      </c>
      <c r="DI67" t="s">
        <v>585</v>
      </c>
      <c r="DJ67" t="s">
        <v>360</v>
      </c>
      <c r="DL67" t="s">
        <v>358</v>
      </c>
      <c r="DM67" t="s">
        <v>357</v>
      </c>
      <c r="DN67" t="s">
        <v>359</v>
      </c>
      <c r="DP67" t="s">
        <v>586</v>
      </c>
      <c r="DQ67" t="s">
        <v>605</v>
      </c>
      <c r="DR67" t="s">
        <v>222</v>
      </c>
      <c r="DW67">
        <v>66</v>
      </c>
      <c r="DX67">
        <v>63</v>
      </c>
    </row>
    <row r="68" spans="1:128" x14ac:dyDescent="0.25">
      <c r="A68" t="s">
        <v>576</v>
      </c>
      <c r="B68" t="s">
        <v>478</v>
      </c>
      <c r="C68">
        <v>3</v>
      </c>
      <c r="D68" t="s">
        <v>787</v>
      </c>
      <c r="AH68" t="s">
        <v>648</v>
      </c>
      <c r="AI68" t="s">
        <v>576</v>
      </c>
      <c r="AJ68" t="s">
        <v>529</v>
      </c>
      <c r="AM68" t="s">
        <v>475</v>
      </c>
      <c r="AN68">
        <v>2</v>
      </c>
      <c r="AO68" t="s">
        <v>854</v>
      </c>
      <c r="AP68" t="s">
        <v>303</v>
      </c>
      <c r="AT68">
        <v>5</v>
      </c>
      <c r="AY68" t="s">
        <v>448</v>
      </c>
      <c r="BR68"/>
      <c r="BS68"/>
      <c r="BU68" s="5"/>
      <c r="BV68" s="5"/>
      <c r="BX68"/>
      <c r="CA68" s="3"/>
      <c r="CB68" t="s">
        <v>529</v>
      </c>
      <c r="CC68" t="s">
        <v>6</v>
      </c>
      <c r="CD68" t="s">
        <v>178</v>
      </c>
      <c r="CE68" t="s">
        <v>6</v>
      </c>
      <c r="CF68" t="s">
        <v>244</v>
      </c>
      <c r="CI68" t="s">
        <v>647</v>
      </c>
      <c r="CJ68" t="s">
        <v>647</v>
      </c>
      <c r="CK68" t="s">
        <v>647</v>
      </c>
      <c r="CL68" t="s">
        <v>647</v>
      </c>
      <c r="CM68" t="s">
        <v>647</v>
      </c>
      <c r="CN68" t="s">
        <v>647</v>
      </c>
      <c r="CO68" t="s">
        <v>647</v>
      </c>
      <c r="CP68" t="s">
        <v>647</v>
      </c>
      <c r="CQ68" t="s">
        <v>409</v>
      </c>
      <c r="CR68" t="s">
        <v>647</v>
      </c>
      <c r="CS68" t="s">
        <v>647</v>
      </c>
      <c r="CT68" t="s">
        <v>270</v>
      </c>
      <c r="CU68" t="s">
        <v>270</v>
      </c>
      <c r="CW68" t="s">
        <v>762</v>
      </c>
      <c r="CX68" t="s">
        <v>753</v>
      </c>
      <c r="CY68" t="s">
        <v>241</v>
      </c>
      <c r="CZ68" t="s">
        <v>224</v>
      </c>
      <c r="DA68" t="s">
        <v>731</v>
      </c>
      <c r="DB68" t="s">
        <v>730</v>
      </c>
      <c r="DC68" t="s">
        <v>241</v>
      </c>
      <c r="DD68" t="s">
        <v>647</v>
      </c>
      <c r="DI68" t="s">
        <v>585</v>
      </c>
      <c r="DJ68" t="s">
        <v>360</v>
      </c>
      <c r="DL68" t="s">
        <v>358</v>
      </c>
      <c r="DM68" t="s">
        <v>357</v>
      </c>
      <c r="DN68" t="s">
        <v>359</v>
      </c>
      <c r="DP68" t="s">
        <v>586</v>
      </c>
      <c r="DQ68" t="s">
        <v>606</v>
      </c>
      <c r="DR68" t="s">
        <v>222</v>
      </c>
      <c r="DT68" t="s">
        <v>178</v>
      </c>
      <c r="DU68" t="s">
        <v>367</v>
      </c>
      <c r="DW68">
        <v>67</v>
      </c>
      <c r="DX68">
        <v>64</v>
      </c>
    </row>
    <row r="69" spans="1:128" x14ac:dyDescent="0.25">
      <c r="A69" t="s">
        <v>576</v>
      </c>
      <c r="B69" t="s">
        <v>478</v>
      </c>
      <c r="C69">
        <v>3</v>
      </c>
      <c r="D69" t="s">
        <v>787</v>
      </c>
      <c r="AH69" t="s">
        <v>646</v>
      </c>
      <c r="AI69" t="s">
        <v>576</v>
      </c>
      <c r="AJ69" t="s">
        <v>529</v>
      </c>
      <c r="AM69" t="s">
        <v>475</v>
      </c>
      <c r="AN69">
        <v>3</v>
      </c>
      <c r="AO69" t="s">
        <v>855</v>
      </c>
      <c r="AP69" t="s">
        <v>303</v>
      </c>
      <c r="AY69" t="s">
        <v>572</v>
      </c>
      <c r="BR69"/>
      <c r="BS69"/>
      <c r="BU69" s="5"/>
      <c r="BV69" s="5"/>
      <c r="BX69"/>
      <c r="CA69" s="3"/>
      <c r="CB69" t="s">
        <v>529</v>
      </c>
      <c r="CC69" t="s">
        <v>6</v>
      </c>
      <c r="CD69" t="s">
        <v>178</v>
      </c>
      <c r="CE69" t="s">
        <v>6</v>
      </c>
      <c r="CF69" t="s">
        <v>244</v>
      </c>
      <c r="CI69" t="s">
        <v>647</v>
      </c>
      <c r="CJ69" t="s">
        <v>647</v>
      </c>
      <c r="CK69" t="s">
        <v>647</v>
      </c>
      <c r="CL69" t="s">
        <v>647</v>
      </c>
      <c r="CM69" t="s">
        <v>647</v>
      </c>
      <c r="CN69" t="s">
        <v>647</v>
      </c>
      <c r="CO69" t="s">
        <v>647</v>
      </c>
      <c r="CP69" t="s">
        <v>647</v>
      </c>
      <c r="CQ69" t="s">
        <v>409</v>
      </c>
      <c r="CR69" t="s">
        <v>647</v>
      </c>
      <c r="CS69" t="s">
        <v>647</v>
      </c>
      <c r="CT69" t="s">
        <v>270</v>
      </c>
      <c r="CU69" t="s">
        <v>270</v>
      </c>
      <c r="CW69" t="s">
        <v>762</v>
      </c>
      <c r="CX69" t="s">
        <v>753</v>
      </c>
      <c r="CY69" t="s">
        <v>241</v>
      </c>
      <c r="CZ69" t="s">
        <v>224</v>
      </c>
      <c r="DA69" t="s">
        <v>731</v>
      </c>
      <c r="DB69" t="s">
        <v>730</v>
      </c>
      <c r="DC69" t="s">
        <v>241</v>
      </c>
      <c r="DD69" t="s">
        <v>647</v>
      </c>
      <c r="DI69" t="s">
        <v>585</v>
      </c>
      <c r="DJ69" t="s">
        <v>360</v>
      </c>
      <c r="DL69" t="s">
        <v>358</v>
      </c>
      <c r="DM69" t="s">
        <v>357</v>
      </c>
      <c r="DN69" t="s">
        <v>359</v>
      </c>
      <c r="DP69" t="s">
        <v>586</v>
      </c>
      <c r="DQ69" t="s">
        <v>449</v>
      </c>
      <c r="DW69">
        <v>68</v>
      </c>
      <c r="DX69">
        <v>65</v>
      </c>
    </row>
    <row r="70" spans="1:128" x14ac:dyDescent="0.25">
      <c r="A70" t="s">
        <v>577</v>
      </c>
      <c r="B70" t="s">
        <v>478</v>
      </c>
      <c r="C70">
        <v>4</v>
      </c>
      <c r="D70" t="s">
        <v>787</v>
      </c>
      <c r="AH70" t="s">
        <v>650</v>
      </c>
      <c r="AI70" t="s">
        <v>577</v>
      </c>
      <c r="AJ70" t="s">
        <v>531</v>
      </c>
      <c r="AM70" t="s">
        <v>475</v>
      </c>
      <c r="AN70">
        <v>1</v>
      </c>
      <c r="AO70" t="s">
        <v>856</v>
      </c>
      <c r="AP70" t="s">
        <v>303</v>
      </c>
      <c r="AU70">
        <v>0</v>
      </c>
      <c r="AV70">
        <v>0</v>
      </c>
      <c r="AY70" t="s">
        <v>572</v>
      </c>
      <c r="BR70"/>
      <c r="BS70"/>
      <c r="BU70" s="5"/>
      <c r="BV70" s="5"/>
      <c r="BX70"/>
      <c r="CA70" s="3"/>
      <c r="CB70" t="s">
        <v>531</v>
      </c>
      <c r="CC70" t="s">
        <v>6</v>
      </c>
      <c r="CD70" t="s">
        <v>116</v>
      </c>
      <c r="CE70" t="s">
        <v>6</v>
      </c>
      <c r="CF70" t="s">
        <v>244</v>
      </c>
      <c r="CG70" t="s">
        <v>226</v>
      </c>
      <c r="CH70" t="s">
        <v>483</v>
      </c>
      <c r="CI70" t="s">
        <v>651</v>
      </c>
      <c r="CJ70" t="s">
        <v>651</v>
      </c>
      <c r="CK70" t="s">
        <v>651</v>
      </c>
      <c r="CL70" t="s">
        <v>651</v>
      </c>
      <c r="CM70" t="s">
        <v>651</v>
      </c>
      <c r="CN70" t="s">
        <v>651</v>
      </c>
      <c r="CO70" t="s">
        <v>651</v>
      </c>
      <c r="CP70" t="s">
        <v>651</v>
      </c>
      <c r="CQ70" t="s">
        <v>408</v>
      </c>
      <c r="CR70" t="s">
        <v>651</v>
      </c>
      <c r="CS70" t="s">
        <v>651</v>
      </c>
      <c r="CT70" t="s">
        <v>279</v>
      </c>
      <c r="CU70" t="s">
        <v>279</v>
      </c>
      <c r="CV70" t="s">
        <v>241</v>
      </c>
      <c r="CW70" t="s">
        <v>763</v>
      </c>
      <c r="CX70" t="s">
        <v>754</v>
      </c>
      <c r="CY70" t="s">
        <v>7</v>
      </c>
      <c r="CZ70" t="s">
        <v>242</v>
      </c>
      <c r="DA70" t="s">
        <v>732</v>
      </c>
      <c r="DB70" t="s">
        <v>729</v>
      </c>
      <c r="DC70" t="s">
        <v>241</v>
      </c>
      <c r="DD70" t="s">
        <v>651</v>
      </c>
      <c r="DF70" t="s">
        <v>241</v>
      </c>
      <c r="DI70" t="s">
        <v>585</v>
      </c>
      <c r="DJ70" t="s">
        <v>361</v>
      </c>
      <c r="DL70" t="s">
        <v>358</v>
      </c>
      <c r="DM70" t="s">
        <v>357</v>
      </c>
      <c r="DN70" t="s">
        <v>359</v>
      </c>
      <c r="DP70" t="s">
        <v>586</v>
      </c>
      <c r="DQ70" t="s">
        <v>607</v>
      </c>
      <c r="DR70" t="s">
        <v>222</v>
      </c>
      <c r="DT70" t="s">
        <v>116</v>
      </c>
      <c r="DU70" t="s">
        <v>368</v>
      </c>
      <c r="DW70">
        <v>69</v>
      </c>
      <c r="DX70">
        <v>66</v>
      </c>
    </row>
    <row r="71" spans="1:128" x14ac:dyDescent="0.25">
      <c r="A71" t="s">
        <v>578</v>
      </c>
      <c r="B71" t="s">
        <v>478</v>
      </c>
      <c r="C71">
        <v>5</v>
      </c>
      <c r="D71" t="s">
        <v>787</v>
      </c>
      <c r="AH71" t="s">
        <v>652</v>
      </c>
      <c r="AI71" t="s">
        <v>578</v>
      </c>
      <c r="AM71" t="s">
        <v>475</v>
      </c>
      <c r="AN71">
        <v>1</v>
      </c>
      <c r="AO71" t="s">
        <v>857</v>
      </c>
      <c r="AP71" t="s">
        <v>303</v>
      </c>
      <c r="AT71">
        <v>4</v>
      </c>
      <c r="AU71">
        <v>0</v>
      </c>
      <c r="AV71">
        <v>4</v>
      </c>
      <c r="AY71" t="s">
        <v>574</v>
      </c>
      <c r="BR71"/>
      <c r="BS71"/>
      <c r="BU71" s="5"/>
      <c r="BV71" s="5"/>
      <c r="BX71"/>
      <c r="CA71" s="3"/>
      <c r="DI71" t="s">
        <v>587</v>
      </c>
      <c r="DJ71" t="s">
        <v>360</v>
      </c>
      <c r="DL71" t="s">
        <v>358</v>
      </c>
      <c r="DN71" t="s">
        <v>359</v>
      </c>
      <c r="DP71" t="s">
        <v>586</v>
      </c>
      <c r="DQ71" t="s">
        <v>606</v>
      </c>
      <c r="DR71" t="s">
        <v>222</v>
      </c>
      <c r="DW71">
        <v>70</v>
      </c>
      <c r="DX71">
        <v>67</v>
      </c>
    </row>
    <row r="72" spans="1:128" x14ac:dyDescent="0.25">
      <c r="A72" t="s">
        <v>579</v>
      </c>
      <c r="B72" t="s">
        <v>478</v>
      </c>
      <c r="C72">
        <v>6</v>
      </c>
      <c r="D72" t="s">
        <v>787</v>
      </c>
      <c r="AH72" t="s">
        <v>657</v>
      </c>
      <c r="AI72" t="s">
        <v>579</v>
      </c>
      <c r="AM72" t="s">
        <v>475</v>
      </c>
      <c r="AN72">
        <v>1</v>
      </c>
      <c r="AO72" t="s">
        <v>858</v>
      </c>
      <c r="AP72" t="s">
        <v>303</v>
      </c>
      <c r="AT72">
        <v>0.4</v>
      </c>
      <c r="AU72">
        <v>0</v>
      </c>
      <c r="AV72">
        <v>0.4</v>
      </c>
      <c r="AY72" t="s">
        <v>609</v>
      </c>
      <c r="BR72"/>
      <c r="BS72"/>
      <c r="BU72" s="5"/>
      <c r="BV72" s="5"/>
      <c r="BX72"/>
      <c r="CA72" s="3"/>
      <c r="DI72" t="s">
        <v>362</v>
      </c>
      <c r="DJ72" t="s">
        <v>299</v>
      </c>
      <c r="DK72" t="s">
        <v>588</v>
      </c>
      <c r="DL72" t="s">
        <v>358</v>
      </c>
      <c r="DN72" t="s">
        <v>363</v>
      </c>
      <c r="DO72">
        <v>220</v>
      </c>
      <c r="DP72" t="s">
        <v>589</v>
      </c>
      <c r="DQ72" t="s">
        <v>608</v>
      </c>
      <c r="DR72" t="s">
        <v>222</v>
      </c>
      <c r="DU72" t="s">
        <v>369</v>
      </c>
      <c r="DW72">
        <v>71</v>
      </c>
      <c r="DX72">
        <v>68</v>
      </c>
    </row>
    <row r="73" spans="1:128" x14ac:dyDescent="0.25">
      <c r="A73" t="s">
        <v>579</v>
      </c>
      <c r="B73" t="s">
        <v>478</v>
      </c>
      <c r="C73">
        <v>6</v>
      </c>
      <c r="D73" t="s">
        <v>787</v>
      </c>
      <c r="AH73" t="s">
        <v>658</v>
      </c>
      <c r="AI73" t="s">
        <v>579</v>
      </c>
      <c r="AJ73" t="s">
        <v>532</v>
      </c>
      <c r="AM73" t="s">
        <v>475</v>
      </c>
      <c r="AN73">
        <v>2</v>
      </c>
      <c r="AO73" t="s">
        <v>859</v>
      </c>
      <c r="AP73" t="s">
        <v>303</v>
      </c>
      <c r="AT73">
        <v>0.1</v>
      </c>
      <c r="AY73" t="s">
        <v>572</v>
      </c>
      <c r="BR73"/>
      <c r="BS73"/>
      <c r="BU73" s="5"/>
      <c r="BV73" s="5"/>
      <c r="BX73"/>
      <c r="CA73" s="3"/>
      <c r="CB73" t="s">
        <v>532</v>
      </c>
      <c r="CC73" t="s">
        <v>6</v>
      </c>
      <c r="CE73" t="s">
        <v>6</v>
      </c>
      <c r="CG73" t="s">
        <v>226</v>
      </c>
      <c r="CI73" t="s">
        <v>659</v>
      </c>
      <c r="CJ73" t="s">
        <v>659</v>
      </c>
      <c r="CK73" t="s">
        <v>659</v>
      </c>
      <c r="CL73" t="s">
        <v>659</v>
      </c>
      <c r="CM73" t="s">
        <v>659</v>
      </c>
      <c r="CN73" t="s">
        <v>659</v>
      </c>
      <c r="CO73" t="s">
        <v>659</v>
      </c>
      <c r="CP73" t="s">
        <v>659</v>
      </c>
      <c r="CR73" t="s">
        <v>659</v>
      </c>
      <c r="CS73" t="s">
        <v>659</v>
      </c>
      <c r="CT73" t="s">
        <v>285</v>
      </c>
      <c r="CU73" t="s">
        <v>285</v>
      </c>
      <c r="CW73" t="s">
        <v>764</v>
      </c>
      <c r="CX73" t="s">
        <v>755</v>
      </c>
      <c r="CY73" t="s">
        <v>241</v>
      </c>
      <c r="CZ73" t="s">
        <v>258</v>
      </c>
      <c r="DA73" t="s">
        <v>731</v>
      </c>
      <c r="DB73" t="s">
        <v>729</v>
      </c>
      <c r="DC73" t="s">
        <v>7</v>
      </c>
      <c r="DD73" t="s">
        <v>659</v>
      </c>
      <c r="DF73" t="s">
        <v>7</v>
      </c>
      <c r="DI73" t="s">
        <v>362</v>
      </c>
      <c r="DJ73" t="s">
        <v>299</v>
      </c>
      <c r="DK73" t="s">
        <v>588</v>
      </c>
      <c r="DL73" t="s">
        <v>358</v>
      </c>
      <c r="DN73" t="s">
        <v>363</v>
      </c>
      <c r="DO73">
        <v>220</v>
      </c>
      <c r="DP73" t="s">
        <v>589</v>
      </c>
      <c r="DQ73" t="s">
        <v>610</v>
      </c>
      <c r="DR73" t="s">
        <v>222</v>
      </c>
      <c r="DS73" t="s">
        <v>630</v>
      </c>
      <c r="DT73" t="s">
        <v>631</v>
      </c>
      <c r="DU73" t="s">
        <v>369</v>
      </c>
      <c r="DW73">
        <v>72</v>
      </c>
      <c r="DX73">
        <v>69</v>
      </c>
    </row>
    <row r="74" spans="1:128" x14ac:dyDescent="0.25">
      <c r="A74" t="s">
        <v>579</v>
      </c>
      <c r="B74" t="s">
        <v>478</v>
      </c>
      <c r="C74">
        <v>6</v>
      </c>
      <c r="D74" t="s">
        <v>787</v>
      </c>
      <c r="AH74" t="s">
        <v>660</v>
      </c>
      <c r="AI74" t="s">
        <v>579</v>
      </c>
      <c r="AJ74" t="s">
        <v>534</v>
      </c>
      <c r="AM74" t="s">
        <v>475</v>
      </c>
      <c r="AN74">
        <v>3</v>
      </c>
      <c r="AO74" t="s">
        <v>860</v>
      </c>
      <c r="AP74" t="s">
        <v>303</v>
      </c>
      <c r="AT74">
        <v>2</v>
      </c>
      <c r="AY74" t="s">
        <v>552</v>
      </c>
      <c r="BR74"/>
      <c r="BS74"/>
      <c r="BU74" s="5"/>
      <c r="BV74" s="5"/>
      <c r="BX74"/>
      <c r="CA74" s="3"/>
      <c r="CB74" t="s">
        <v>534</v>
      </c>
      <c r="CC74" t="s">
        <v>412</v>
      </c>
      <c r="CE74" t="s">
        <v>6</v>
      </c>
      <c r="CI74" t="s">
        <v>661</v>
      </c>
      <c r="CJ74" t="s">
        <v>661</v>
      </c>
      <c r="CK74" t="s">
        <v>661</v>
      </c>
      <c r="CL74" t="s">
        <v>661</v>
      </c>
      <c r="CM74" t="s">
        <v>661</v>
      </c>
      <c r="CN74" t="s">
        <v>661</v>
      </c>
      <c r="CO74" t="s">
        <v>661</v>
      </c>
      <c r="CP74" t="s">
        <v>661</v>
      </c>
      <c r="CR74" t="s">
        <v>661</v>
      </c>
      <c r="CS74" t="s">
        <v>661</v>
      </c>
      <c r="CT74" t="s">
        <v>279</v>
      </c>
      <c r="CU74" t="s">
        <v>279</v>
      </c>
      <c r="CV74" t="s">
        <v>7</v>
      </c>
      <c r="CW74" t="s">
        <v>765</v>
      </c>
      <c r="CX74" t="s">
        <v>756</v>
      </c>
      <c r="CY74" t="s">
        <v>7</v>
      </c>
      <c r="CZ74" t="s">
        <v>271</v>
      </c>
      <c r="DA74" t="s">
        <v>730</v>
      </c>
      <c r="DB74" t="s">
        <v>730</v>
      </c>
      <c r="DD74" t="s">
        <v>661</v>
      </c>
      <c r="DI74" t="s">
        <v>362</v>
      </c>
      <c r="DJ74" t="s">
        <v>299</v>
      </c>
      <c r="DK74" t="s">
        <v>588</v>
      </c>
      <c r="DL74" t="s">
        <v>358</v>
      </c>
      <c r="DN74" t="s">
        <v>363</v>
      </c>
      <c r="DO74">
        <v>220</v>
      </c>
      <c r="DP74" t="s">
        <v>589</v>
      </c>
      <c r="DQ74" t="s">
        <v>611</v>
      </c>
      <c r="DR74" t="s">
        <v>222</v>
      </c>
      <c r="DU74" t="s">
        <v>366</v>
      </c>
      <c r="DW74">
        <v>73</v>
      </c>
      <c r="DX74">
        <v>70</v>
      </c>
    </row>
    <row r="75" spans="1:128" x14ac:dyDescent="0.25">
      <c r="A75" t="s">
        <v>579</v>
      </c>
      <c r="B75" t="s">
        <v>478</v>
      </c>
      <c r="C75">
        <v>6</v>
      </c>
      <c r="D75" t="s">
        <v>787</v>
      </c>
      <c r="AH75" t="s">
        <v>653</v>
      </c>
      <c r="AI75" t="s">
        <v>579</v>
      </c>
      <c r="AM75" t="s">
        <v>475</v>
      </c>
      <c r="AN75">
        <v>4</v>
      </c>
      <c r="AO75" t="s">
        <v>861</v>
      </c>
      <c r="AP75" t="s">
        <v>303</v>
      </c>
      <c r="AT75">
        <v>0.5</v>
      </c>
      <c r="AY75" t="s">
        <v>551</v>
      </c>
      <c r="BR75"/>
      <c r="BS75"/>
      <c r="BU75" s="5"/>
      <c r="BV75" s="5"/>
      <c r="BX75"/>
      <c r="CA75" s="3"/>
      <c r="DI75" t="s">
        <v>362</v>
      </c>
      <c r="DJ75" t="s">
        <v>299</v>
      </c>
      <c r="DK75" t="s">
        <v>588</v>
      </c>
      <c r="DL75" t="s">
        <v>358</v>
      </c>
      <c r="DN75" t="s">
        <v>363</v>
      </c>
      <c r="DO75">
        <v>220</v>
      </c>
      <c r="DP75" t="s">
        <v>589</v>
      </c>
      <c r="DQ75" t="s">
        <v>612</v>
      </c>
      <c r="DR75" t="s">
        <v>222</v>
      </c>
      <c r="DU75" t="s">
        <v>369</v>
      </c>
      <c r="DW75">
        <v>74</v>
      </c>
      <c r="DX75">
        <v>71</v>
      </c>
    </row>
    <row r="76" spans="1:128" x14ac:dyDescent="0.25">
      <c r="A76" t="s">
        <v>579</v>
      </c>
      <c r="B76" t="s">
        <v>478</v>
      </c>
      <c r="C76">
        <v>6</v>
      </c>
      <c r="D76" t="s">
        <v>787</v>
      </c>
      <c r="AH76" t="s">
        <v>654</v>
      </c>
      <c r="AI76" t="s">
        <v>579</v>
      </c>
      <c r="AJ76" t="s">
        <v>593</v>
      </c>
      <c r="AM76" t="s">
        <v>475</v>
      </c>
      <c r="AN76">
        <v>5</v>
      </c>
      <c r="AO76" t="s">
        <v>862</v>
      </c>
      <c r="AP76" t="s">
        <v>303</v>
      </c>
      <c r="AT76">
        <v>4</v>
      </c>
      <c r="AY76" t="s">
        <v>574</v>
      </c>
      <c r="BR76"/>
      <c r="BS76"/>
      <c r="BU76" s="5"/>
      <c r="BV76" s="5"/>
      <c r="BX76"/>
      <c r="CA76" s="3"/>
      <c r="CB76" t="s">
        <v>593</v>
      </c>
      <c r="CC76" t="s">
        <v>239</v>
      </c>
      <c r="CE76" t="s">
        <v>6</v>
      </c>
      <c r="CI76" t="s">
        <v>655</v>
      </c>
      <c r="CJ76" t="s">
        <v>655</v>
      </c>
      <c r="CK76" t="s">
        <v>655</v>
      </c>
      <c r="CL76" t="s">
        <v>655</v>
      </c>
      <c r="CM76" t="s">
        <v>655</v>
      </c>
      <c r="CN76" t="s">
        <v>655</v>
      </c>
      <c r="CO76" t="s">
        <v>655</v>
      </c>
      <c r="CP76" t="s">
        <v>655</v>
      </c>
      <c r="CQ76" t="s">
        <v>409</v>
      </c>
      <c r="CR76" t="s">
        <v>655</v>
      </c>
      <c r="CS76" t="s">
        <v>655</v>
      </c>
      <c r="CT76" t="s">
        <v>270</v>
      </c>
      <c r="CU76" t="s">
        <v>270</v>
      </c>
      <c r="CW76" t="s">
        <v>766</v>
      </c>
      <c r="CX76" t="s">
        <v>757</v>
      </c>
      <c r="CY76" t="s">
        <v>241</v>
      </c>
      <c r="DA76" t="s">
        <v>729</v>
      </c>
      <c r="DB76" t="s">
        <v>225</v>
      </c>
      <c r="DD76" t="s">
        <v>655</v>
      </c>
      <c r="DI76" t="s">
        <v>362</v>
      </c>
      <c r="DJ76" t="s">
        <v>299</v>
      </c>
      <c r="DK76" t="s">
        <v>588</v>
      </c>
      <c r="DL76" t="s">
        <v>358</v>
      </c>
      <c r="DN76" t="s">
        <v>363</v>
      </c>
      <c r="DO76">
        <v>220</v>
      </c>
      <c r="DP76" t="s">
        <v>589</v>
      </c>
      <c r="DQ76" t="s">
        <v>613</v>
      </c>
      <c r="DR76" t="s">
        <v>222</v>
      </c>
      <c r="DT76" t="s">
        <v>632</v>
      </c>
      <c r="DU76" t="s">
        <v>369</v>
      </c>
      <c r="DW76">
        <v>75</v>
      </c>
      <c r="DX76">
        <v>72</v>
      </c>
    </row>
    <row r="77" spans="1:128" x14ac:dyDescent="0.25">
      <c r="A77" t="s">
        <v>579</v>
      </c>
      <c r="B77" t="s">
        <v>478</v>
      </c>
      <c r="C77">
        <v>6</v>
      </c>
      <c r="D77" t="s">
        <v>787</v>
      </c>
      <c r="AH77" t="s">
        <v>656</v>
      </c>
      <c r="AI77" t="s">
        <v>579</v>
      </c>
      <c r="AM77" t="s">
        <v>475</v>
      </c>
      <c r="AN77">
        <v>6</v>
      </c>
      <c r="AO77" t="s">
        <v>863</v>
      </c>
      <c r="AP77" t="s">
        <v>303</v>
      </c>
      <c r="AT77">
        <v>3</v>
      </c>
      <c r="AY77" t="s">
        <v>572</v>
      </c>
      <c r="BR77"/>
      <c r="BS77"/>
      <c r="BU77" s="5"/>
      <c r="BV77" s="5"/>
      <c r="BX77"/>
      <c r="CA77" s="3"/>
      <c r="DI77" t="s">
        <v>362</v>
      </c>
      <c r="DJ77" t="s">
        <v>299</v>
      </c>
      <c r="DK77" t="s">
        <v>588</v>
      </c>
      <c r="DL77" t="s">
        <v>358</v>
      </c>
      <c r="DN77" t="s">
        <v>363</v>
      </c>
      <c r="DO77">
        <v>220</v>
      </c>
      <c r="DP77" t="s">
        <v>589</v>
      </c>
      <c r="DQ77" t="s">
        <v>614</v>
      </c>
      <c r="DR77" t="s">
        <v>222</v>
      </c>
      <c r="DW77">
        <v>76</v>
      </c>
      <c r="DX77">
        <v>73</v>
      </c>
    </row>
    <row r="78" spans="1:128" x14ac:dyDescent="0.25">
      <c r="A78" t="s">
        <v>580</v>
      </c>
      <c r="B78" t="s">
        <v>478</v>
      </c>
      <c r="C78">
        <v>7</v>
      </c>
      <c r="D78" t="s">
        <v>787</v>
      </c>
      <c r="AH78" t="s">
        <v>662</v>
      </c>
      <c r="AI78" t="s">
        <v>580</v>
      </c>
      <c r="AJ78" t="s">
        <v>594</v>
      </c>
      <c r="AM78" t="s">
        <v>475</v>
      </c>
      <c r="AN78">
        <v>1</v>
      </c>
      <c r="AO78" t="s">
        <v>864</v>
      </c>
      <c r="AP78" t="s">
        <v>303</v>
      </c>
      <c r="AT78">
        <v>1.5</v>
      </c>
      <c r="AU78">
        <v>0</v>
      </c>
      <c r="AV78">
        <v>1.5</v>
      </c>
      <c r="AY78" t="s">
        <v>574</v>
      </c>
      <c r="BR78"/>
      <c r="BS78"/>
      <c r="BU78" s="5"/>
      <c r="BV78" s="5"/>
      <c r="BX78"/>
      <c r="CA78" s="3"/>
      <c r="CB78" t="s">
        <v>594</v>
      </c>
      <c r="CC78" t="s">
        <v>6</v>
      </c>
      <c r="CD78" t="s">
        <v>178</v>
      </c>
      <c r="CE78" t="s">
        <v>6</v>
      </c>
      <c r="CG78" t="s">
        <v>226</v>
      </c>
      <c r="CI78" t="s">
        <v>663</v>
      </c>
      <c r="CJ78" t="s">
        <v>663</v>
      </c>
      <c r="CK78" t="s">
        <v>663</v>
      </c>
      <c r="CL78" t="s">
        <v>663</v>
      </c>
      <c r="CM78" t="s">
        <v>663</v>
      </c>
      <c r="CN78" t="s">
        <v>663</v>
      </c>
      <c r="CO78" t="s">
        <v>663</v>
      </c>
      <c r="CP78" t="s">
        <v>663</v>
      </c>
      <c r="CQ78" t="s">
        <v>408</v>
      </c>
      <c r="CR78" t="s">
        <v>663</v>
      </c>
      <c r="CS78" t="s">
        <v>663</v>
      </c>
      <c r="CT78" t="s">
        <v>257</v>
      </c>
      <c r="CU78" t="s">
        <v>257</v>
      </c>
      <c r="CV78" t="s">
        <v>241</v>
      </c>
      <c r="CW78" t="s">
        <v>767</v>
      </c>
      <c r="CX78" t="s">
        <v>758</v>
      </c>
      <c r="CY78" t="s">
        <v>7</v>
      </c>
      <c r="CZ78" t="s">
        <v>224</v>
      </c>
      <c r="DA78" t="s">
        <v>773</v>
      </c>
      <c r="DB78" t="s">
        <v>729</v>
      </c>
      <c r="DC78" t="s">
        <v>241</v>
      </c>
      <c r="DD78" t="s">
        <v>663</v>
      </c>
      <c r="DF78" t="s">
        <v>241</v>
      </c>
      <c r="DI78" t="s">
        <v>364</v>
      </c>
      <c r="DJ78" t="s">
        <v>299</v>
      </c>
      <c r="DL78" t="s">
        <v>358</v>
      </c>
      <c r="DN78" t="s">
        <v>363</v>
      </c>
      <c r="DO78">
        <v>220</v>
      </c>
      <c r="DP78" t="s">
        <v>450</v>
      </c>
      <c r="DQ78" t="s">
        <v>615</v>
      </c>
      <c r="DR78" t="s">
        <v>222</v>
      </c>
      <c r="DT78" t="s">
        <v>178</v>
      </c>
      <c r="DU78" t="s">
        <v>367</v>
      </c>
      <c r="DW78">
        <v>77</v>
      </c>
      <c r="DX78">
        <v>74</v>
      </c>
    </row>
    <row r="79" spans="1:128" x14ac:dyDescent="0.25">
      <c r="A79" t="s">
        <v>581</v>
      </c>
      <c r="B79" t="s">
        <v>478</v>
      </c>
      <c r="C79">
        <v>8</v>
      </c>
      <c r="D79" t="s">
        <v>787</v>
      </c>
      <c r="AH79" t="s">
        <v>666</v>
      </c>
      <c r="AI79" t="s">
        <v>581</v>
      </c>
      <c r="AM79" t="s">
        <v>475</v>
      </c>
      <c r="AN79">
        <v>1</v>
      </c>
      <c r="AO79" t="s">
        <v>865</v>
      </c>
      <c r="AP79" t="s">
        <v>303</v>
      </c>
      <c r="AT79">
        <v>0.5</v>
      </c>
      <c r="AU79">
        <v>0</v>
      </c>
      <c r="AV79">
        <v>0.5</v>
      </c>
      <c r="AY79" t="s">
        <v>616</v>
      </c>
      <c r="BR79"/>
      <c r="BS79"/>
      <c r="BU79" s="5"/>
      <c r="BV79" s="5"/>
      <c r="BX79"/>
      <c r="CA79" s="3"/>
      <c r="DI79" t="s">
        <v>362</v>
      </c>
      <c r="DJ79" t="s">
        <v>361</v>
      </c>
      <c r="DK79" t="s">
        <v>588</v>
      </c>
      <c r="DL79" t="s">
        <v>358</v>
      </c>
      <c r="DN79" t="s">
        <v>363</v>
      </c>
      <c r="DO79">
        <v>218</v>
      </c>
      <c r="DP79" t="s">
        <v>590</v>
      </c>
      <c r="DQ79" t="s">
        <v>608</v>
      </c>
      <c r="DR79" t="s">
        <v>222</v>
      </c>
      <c r="DU79" t="s">
        <v>369</v>
      </c>
      <c r="DW79">
        <v>78</v>
      </c>
      <c r="DX79">
        <v>75</v>
      </c>
    </row>
    <row r="80" spans="1:128" x14ac:dyDescent="0.25">
      <c r="A80" t="s">
        <v>581</v>
      </c>
      <c r="B80" t="s">
        <v>478</v>
      </c>
      <c r="C80">
        <v>8</v>
      </c>
      <c r="D80" t="s">
        <v>787</v>
      </c>
      <c r="AH80" t="s">
        <v>664</v>
      </c>
      <c r="AI80" t="s">
        <v>581</v>
      </c>
      <c r="AJ80" t="s">
        <v>595</v>
      </c>
      <c r="AM80" t="s">
        <v>475</v>
      </c>
      <c r="AN80">
        <v>2</v>
      </c>
      <c r="AO80" t="s">
        <v>866</v>
      </c>
      <c r="AP80" t="s">
        <v>303</v>
      </c>
      <c r="AT80">
        <v>0.5</v>
      </c>
      <c r="AY80" t="s">
        <v>617</v>
      </c>
      <c r="BR80"/>
      <c r="BS80"/>
      <c r="BU80" s="5"/>
      <c r="BV80" s="5"/>
      <c r="BX80"/>
      <c r="CA80" s="3"/>
      <c r="CB80" t="s">
        <v>595</v>
      </c>
      <c r="CC80" t="s">
        <v>239</v>
      </c>
      <c r="CE80" t="s">
        <v>6</v>
      </c>
      <c r="CF80" t="s">
        <v>226</v>
      </c>
      <c r="CG80" t="s">
        <v>244</v>
      </c>
      <c r="CI80" t="s">
        <v>665</v>
      </c>
      <c r="CJ80" t="s">
        <v>665</v>
      </c>
      <c r="CK80" t="s">
        <v>665</v>
      </c>
      <c r="CL80" t="s">
        <v>665</v>
      </c>
      <c r="CM80" t="s">
        <v>665</v>
      </c>
      <c r="CN80" t="s">
        <v>665</v>
      </c>
      <c r="CO80" t="s">
        <v>665</v>
      </c>
      <c r="CP80" t="s">
        <v>665</v>
      </c>
      <c r="CQ80" t="s">
        <v>409</v>
      </c>
      <c r="CR80" t="s">
        <v>665</v>
      </c>
      <c r="CS80" t="s">
        <v>665</v>
      </c>
      <c r="CT80" t="s">
        <v>240</v>
      </c>
      <c r="CU80" t="s">
        <v>240</v>
      </c>
      <c r="CW80" t="s">
        <v>768</v>
      </c>
      <c r="CX80" t="s">
        <v>759</v>
      </c>
      <c r="CY80" t="s">
        <v>241</v>
      </c>
      <c r="CZ80" t="s">
        <v>242</v>
      </c>
      <c r="DB80" t="s">
        <v>730</v>
      </c>
      <c r="DC80" t="s">
        <v>7</v>
      </c>
      <c r="DD80" t="s">
        <v>665</v>
      </c>
      <c r="DI80" t="s">
        <v>362</v>
      </c>
      <c r="DJ80" t="s">
        <v>361</v>
      </c>
      <c r="DK80" t="s">
        <v>588</v>
      </c>
      <c r="DL80" t="s">
        <v>358</v>
      </c>
      <c r="DN80" t="s">
        <v>363</v>
      </c>
      <c r="DO80">
        <v>218</v>
      </c>
      <c r="DP80" t="s">
        <v>590</v>
      </c>
      <c r="DQ80" t="s">
        <v>610</v>
      </c>
      <c r="DR80" t="s">
        <v>222</v>
      </c>
      <c r="DT80" t="s">
        <v>633</v>
      </c>
      <c r="DU80" t="s">
        <v>369</v>
      </c>
      <c r="DW80">
        <v>79</v>
      </c>
      <c r="DX80">
        <v>76</v>
      </c>
    </row>
    <row r="81" spans="1:128" x14ac:dyDescent="0.25">
      <c r="A81" t="s">
        <v>582</v>
      </c>
      <c r="B81" t="s">
        <v>478</v>
      </c>
      <c r="C81">
        <v>9</v>
      </c>
      <c r="D81" t="s">
        <v>787</v>
      </c>
      <c r="AH81" t="s">
        <v>670</v>
      </c>
      <c r="AI81" t="s">
        <v>582</v>
      </c>
      <c r="AM81" t="s">
        <v>475</v>
      </c>
      <c r="AN81">
        <v>1</v>
      </c>
      <c r="AO81" t="s">
        <v>867</v>
      </c>
      <c r="AP81" t="s">
        <v>303</v>
      </c>
      <c r="AT81">
        <v>0.5</v>
      </c>
      <c r="AU81">
        <v>0</v>
      </c>
      <c r="AV81">
        <v>0.5</v>
      </c>
      <c r="AY81" t="s">
        <v>353</v>
      </c>
      <c r="BR81"/>
      <c r="BS81"/>
      <c r="BU81" s="5"/>
      <c r="BV81" s="5"/>
      <c r="BX81"/>
      <c r="CA81" s="3"/>
      <c r="DI81" t="s">
        <v>365</v>
      </c>
      <c r="DJ81" t="s">
        <v>299</v>
      </c>
      <c r="DL81" t="s">
        <v>358</v>
      </c>
      <c r="DN81" t="s">
        <v>363</v>
      </c>
      <c r="DO81" t="s">
        <v>591</v>
      </c>
      <c r="DP81" t="s">
        <v>590</v>
      </c>
      <c r="DQ81" t="s">
        <v>618</v>
      </c>
      <c r="DR81" t="s">
        <v>222</v>
      </c>
      <c r="DS81" t="s">
        <v>634</v>
      </c>
      <c r="DU81" t="s">
        <v>370</v>
      </c>
      <c r="DV81" t="s">
        <v>371</v>
      </c>
      <c r="DW81">
        <v>80</v>
      </c>
      <c r="DX81">
        <v>77</v>
      </c>
    </row>
    <row r="82" spans="1:128" x14ac:dyDescent="0.25">
      <c r="A82" t="s">
        <v>582</v>
      </c>
      <c r="B82" t="s">
        <v>478</v>
      </c>
      <c r="C82">
        <v>9</v>
      </c>
      <c r="D82" t="s">
        <v>787</v>
      </c>
      <c r="AH82" t="s">
        <v>668</v>
      </c>
      <c r="AI82" t="s">
        <v>582</v>
      </c>
      <c r="AJ82" t="s">
        <v>596</v>
      </c>
      <c r="AM82" t="s">
        <v>475</v>
      </c>
      <c r="AN82">
        <v>2</v>
      </c>
      <c r="AO82" t="s">
        <v>868</v>
      </c>
      <c r="AP82" t="s">
        <v>303</v>
      </c>
      <c r="AT82">
        <v>1.8</v>
      </c>
      <c r="AY82" t="s">
        <v>620</v>
      </c>
      <c r="BR82"/>
      <c r="BS82"/>
      <c r="BU82" s="5"/>
      <c r="BV82" s="5"/>
      <c r="BX82"/>
      <c r="CA82" s="3"/>
      <c r="CB82" t="s">
        <v>596</v>
      </c>
      <c r="CC82" t="s">
        <v>6</v>
      </c>
      <c r="CE82" t="s">
        <v>6</v>
      </c>
      <c r="CI82" t="s">
        <v>669</v>
      </c>
      <c r="CJ82" t="s">
        <v>669</v>
      </c>
      <c r="CK82" t="s">
        <v>669</v>
      </c>
      <c r="CL82" t="s">
        <v>669</v>
      </c>
      <c r="CM82" t="s">
        <v>669</v>
      </c>
      <c r="CN82" t="s">
        <v>669</v>
      </c>
      <c r="CO82" t="s">
        <v>669</v>
      </c>
      <c r="CP82" t="s">
        <v>669</v>
      </c>
      <c r="CQ82" t="s">
        <v>408</v>
      </c>
      <c r="CR82" t="s">
        <v>669</v>
      </c>
      <c r="CS82" t="s">
        <v>669</v>
      </c>
      <c r="CT82" t="s">
        <v>223</v>
      </c>
      <c r="CU82" t="s">
        <v>223</v>
      </c>
      <c r="CW82" t="s">
        <v>769</v>
      </c>
      <c r="CX82" t="s">
        <v>760</v>
      </c>
      <c r="CY82" t="s">
        <v>7</v>
      </c>
      <c r="DB82" t="s">
        <v>225</v>
      </c>
      <c r="DD82" t="s">
        <v>669</v>
      </c>
      <c r="DI82" t="s">
        <v>365</v>
      </c>
      <c r="DJ82" t="s">
        <v>299</v>
      </c>
      <c r="DL82" t="s">
        <v>358</v>
      </c>
      <c r="DN82" t="s">
        <v>363</v>
      </c>
      <c r="DO82" t="s">
        <v>591</v>
      </c>
      <c r="DP82" t="s">
        <v>590</v>
      </c>
      <c r="DQ82" t="s">
        <v>619</v>
      </c>
      <c r="DR82" t="s">
        <v>222</v>
      </c>
      <c r="DT82" t="s">
        <v>635</v>
      </c>
      <c r="DU82" t="s">
        <v>371</v>
      </c>
      <c r="DV82" t="s">
        <v>371</v>
      </c>
      <c r="DW82">
        <v>81</v>
      </c>
      <c r="DX82">
        <v>78</v>
      </c>
    </row>
    <row r="83" spans="1:128" x14ac:dyDescent="0.25">
      <c r="A83" t="s">
        <v>582</v>
      </c>
      <c r="B83" t="s">
        <v>478</v>
      </c>
      <c r="C83">
        <v>9</v>
      </c>
      <c r="D83" t="s">
        <v>787</v>
      </c>
      <c r="AH83" t="s">
        <v>667</v>
      </c>
      <c r="AI83" t="s">
        <v>582</v>
      </c>
      <c r="AM83" t="s">
        <v>475</v>
      </c>
      <c r="AN83">
        <v>3</v>
      </c>
      <c r="AO83" t="s">
        <v>869</v>
      </c>
      <c r="AP83" t="s">
        <v>303</v>
      </c>
      <c r="AY83" t="s">
        <v>573</v>
      </c>
      <c r="BR83"/>
      <c r="BS83"/>
      <c r="BU83" s="5"/>
      <c r="BV83" s="5"/>
      <c r="BX83"/>
      <c r="CA83" s="3"/>
      <c r="DI83" t="s">
        <v>365</v>
      </c>
      <c r="DJ83" t="s">
        <v>299</v>
      </c>
      <c r="DL83" t="s">
        <v>358</v>
      </c>
      <c r="DN83" t="s">
        <v>363</v>
      </c>
      <c r="DO83" t="s">
        <v>591</v>
      </c>
      <c r="DP83" t="s">
        <v>590</v>
      </c>
      <c r="DQ83" t="s">
        <v>621</v>
      </c>
      <c r="DR83" t="s">
        <v>193</v>
      </c>
      <c r="DW83">
        <v>82</v>
      </c>
      <c r="DX83">
        <v>79</v>
      </c>
    </row>
    <row r="84" spans="1:128" x14ac:dyDescent="0.25">
      <c r="A84" t="s">
        <v>1</v>
      </c>
      <c r="B84" t="s">
        <v>474</v>
      </c>
      <c r="C84">
        <v>1</v>
      </c>
      <c r="D84" t="s">
        <v>785</v>
      </c>
      <c r="E84" t="s">
        <v>350</v>
      </c>
      <c r="F84" t="s">
        <v>340</v>
      </c>
      <c r="G84" t="s">
        <v>351</v>
      </c>
      <c r="H84" t="s">
        <v>343</v>
      </c>
      <c r="I84" t="s">
        <v>344</v>
      </c>
      <c r="AH84" t="s">
        <v>446</v>
      </c>
      <c r="AI84" t="s">
        <v>1</v>
      </c>
      <c r="AJ84" t="s">
        <v>3</v>
      </c>
      <c r="AM84" t="s">
        <v>480</v>
      </c>
      <c r="AN84">
        <v>1</v>
      </c>
      <c r="AO84" t="s">
        <v>870</v>
      </c>
      <c r="AP84" t="s">
        <v>317</v>
      </c>
      <c r="AQ84" t="s">
        <v>349</v>
      </c>
      <c r="AR84" t="s">
        <v>348</v>
      </c>
      <c r="AY84" t="s">
        <v>353</v>
      </c>
      <c r="AZ84" t="s">
        <v>236</v>
      </c>
      <c r="BE84" t="s">
        <v>354</v>
      </c>
      <c r="BF84" t="s">
        <v>234</v>
      </c>
      <c r="BG84" t="s">
        <v>352</v>
      </c>
      <c r="BH84" t="s">
        <v>308</v>
      </c>
      <c r="BR84"/>
      <c r="BS84"/>
      <c r="BU84" s="5"/>
      <c r="BV84" s="5"/>
      <c r="BX84"/>
      <c r="CA84" s="3"/>
      <c r="CB84" t="s">
        <v>3</v>
      </c>
      <c r="CC84" t="s">
        <v>239</v>
      </c>
      <c r="CE84" t="s">
        <v>239</v>
      </c>
      <c r="CF84" t="s">
        <v>244</v>
      </c>
      <c r="CI84" t="s">
        <v>467</v>
      </c>
      <c r="CJ84" t="s">
        <v>467</v>
      </c>
      <c r="CK84" t="s">
        <v>467</v>
      </c>
      <c r="CL84" t="s">
        <v>467</v>
      </c>
      <c r="CM84" t="s">
        <v>467</v>
      </c>
      <c r="CN84" t="s">
        <v>467</v>
      </c>
      <c r="CO84" t="s">
        <v>467</v>
      </c>
      <c r="CP84" t="s">
        <v>467</v>
      </c>
      <c r="CQ84" t="s">
        <v>408</v>
      </c>
      <c r="CR84" t="s">
        <v>467</v>
      </c>
      <c r="CS84" t="s">
        <v>467</v>
      </c>
      <c r="CT84" t="s">
        <v>223</v>
      </c>
      <c r="CU84" t="s">
        <v>223</v>
      </c>
      <c r="CV84" t="s">
        <v>241</v>
      </c>
      <c r="CW84" t="s">
        <v>774</v>
      </c>
      <c r="CX84" t="s">
        <v>745</v>
      </c>
      <c r="CY84" t="s">
        <v>7</v>
      </c>
      <c r="CZ84" t="s">
        <v>271</v>
      </c>
      <c r="DA84" t="s">
        <v>773</v>
      </c>
      <c r="DB84" t="s">
        <v>729</v>
      </c>
      <c r="DC84" t="s">
        <v>7</v>
      </c>
      <c r="DD84" t="s">
        <v>467</v>
      </c>
      <c r="DF84" t="s">
        <v>241</v>
      </c>
      <c r="DG84">
        <v>250</v>
      </c>
      <c r="DH84">
        <v>7</v>
      </c>
      <c r="DW84">
        <v>83</v>
      </c>
      <c r="DX84">
        <v>80</v>
      </c>
    </row>
    <row r="85" spans="1:128" x14ac:dyDescent="0.25">
      <c r="A85" t="s">
        <v>1</v>
      </c>
      <c r="B85" t="s">
        <v>474</v>
      </c>
      <c r="C85">
        <v>1</v>
      </c>
      <c r="D85" t="s">
        <v>785</v>
      </c>
      <c r="E85" t="s">
        <v>350</v>
      </c>
      <c r="F85" t="s">
        <v>340</v>
      </c>
      <c r="G85" t="s">
        <v>351</v>
      </c>
      <c r="H85" t="s">
        <v>343</v>
      </c>
      <c r="I85" t="s">
        <v>344</v>
      </c>
      <c r="AH85" t="s">
        <v>466</v>
      </c>
      <c r="AI85" t="s">
        <v>1</v>
      </c>
      <c r="AJ85" t="s">
        <v>526</v>
      </c>
      <c r="AM85" t="s">
        <v>480</v>
      </c>
      <c r="AN85">
        <v>2</v>
      </c>
      <c r="AO85" t="s">
        <v>871</v>
      </c>
      <c r="AP85" t="s">
        <v>317</v>
      </c>
      <c r="AQ85" t="s">
        <v>449</v>
      </c>
      <c r="AR85" t="s">
        <v>453</v>
      </c>
      <c r="AS85" t="s">
        <v>455</v>
      </c>
      <c r="AW85" t="s">
        <v>222</v>
      </c>
      <c r="AY85" t="s">
        <v>448</v>
      </c>
      <c r="AZ85" t="s">
        <v>267</v>
      </c>
      <c r="BF85" t="s">
        <v>217</v>
      </c>
      <c r="BG85" t="s">
        <v>449</v>
      </c>
      <c r="BH85" t="s">
        <v>454</v>
      </c>
      <c r="BR85"/>
      <c r="BS85"/>
      <c r="BU85" s="5"/>
      <c r="BV85" s="5"/>
      <c r="BX85"/>
      <c r="CA85" s="3"/>
      <c r="CB85" t="s">
        <v>526</v>
      </c>
      <c r="CC85" t="s">
        <v>437</v>
      </c>
      <c r="CE85" t="s">
        <v>239</v>
      </c>
      <c r="CF85" t="s">
        <v>226</v>
      </c>
      <c r="CG85" t="s">
        <v>226</v>
      </c>
      <c r="CI85" t="s">
        <v>641</v>
      </c>
      <c r="CJ85" t="s">
        <v>641</v>
      </c>
      <c r="CK85" t="s">
        <v>641</v>
      </c>
      <c r="CL85" t="s">
        <v>641</v>
      </c>
      <c r="CM85" t="s">
        <v>641</v>
      </c>
      <c r="CN85" t="s">
        <v>641</v>
      </c>
      <c r="CO85" t="s">
        <v>641</v>
      </c>
      <c r="CP85" t="s">
        <v>641</v>
      </c>
      <c r="CQ85" t="s">
        <v>408</v>
      </c>
      <c r="CR85" t="s">
        <v>641</v>
      </c>
      <c r="CS85" t="s">
        <v>641</v>
      </c>
      <c r="CT85" t="s">
        <v>257</v>
      </c>
      <c r="CU85" t="s">
        <v>257</v>
      </c>
      <c r="CV85" t="s">
        <v>241</v>
      </c>
      <c r="CW85" t="s">
        <v>761</v>
      </c>
      <c r="CX85" t="s">
        <v>752</v>
      </c>
      <c r="CY85" t="s">
        <v>7</v>
      </c>
      <c r="CZ85" t="s">
        <v>242</v>
      </c>
      <c r="DA85" t="s">
        <v>730</v>
      </c>
      <c r="DC85" t="s">
        <v>7</v>
      </c>
      <c r="DD85" t="s">
        <v>641</v>
      </c>
      <c r="DG85">
        <v>250</v>
      </c>
      <c r="DH85">
        <v>7</v>
      </c>
      <c r="DW85">
        <v>84</v>
      </c>
      <c r="DX85">
        <v>81</v>
      </c>
    </row>
    <row r="86" spans="1:128" x14ac:dyDescent="0.25">
      <c r="A86" t="s">
        <v>1</v>
      </c>
      <c r="B86" t="s">
        <v>474</v>
      </c>
      <c r="C86">
        <v>1</v>
      </c>
      <c r="D86" t="s">
        <v>785</v>
      </c>
      <c r="E86" t="s">
        <v>350</v>
      </c>
      <c r="F86" t="s">
        <v>340</v>
      </c>
      <c r="G86" t="s">
        <v>351</v>
      </c>
      <c r="H86" t="s">
        <v>343</v>
      </c>
      <c r="I86" t="s">
        <v>344</v>
      </c>
      <c r="AH86" t="s">
        <v>676</v>
      </c>
      <c r="AI86" t="s">
        <v>1</v>
      </c>
      <c r="AJ86" t="s">
        <v>524</v>
      </c>
      <c r="AM86" t="s">
        <v>480</v>
      </c>
      <c r="AN86">
        <v>3</v>
      </c>
      <c r="AO86" t="s">
        <v>872</v>
      </c>
      <c r="AP86" t="s">
        <v>317</v>
      </c>
      <c r="AR86" t="s">
        <v>566</v>
      </c>
      <c r="AY86" t="s">
        <v>572</v>
      </c>
      <c r="AZ86" t="s">
        <v>254</v>
      </c>
      <c r="BF86" t="s">
        <v>234</v>
      </c>
      <c r="BG86" t="s">
        <v>456</v>
      </c>
      <c r="BH86" t="s">
        <v>308</v>
      </c>
      <c r="BR86"/>
      <c r="BS86"/>
      <c r="BU86" s="5"/>
      <c r="BV86" s="5"/>
      <c r="BX86"/>
      <c r="CA86" s="3"/>
      <c r="CB86" t="s">
        <v>524</v>
      </c>
      <c r="CC86" t="s">
        <v>412</v>
      </c>
      <c r="CE86" t="s">
        <v>437</v>
      </c>
      <c r="CF86" t="s">
        <v>226</v>
      </c>
      <c r="CI86" t="s">
        <v>639</v>
      </c>
      <c r="CJ86" t="s">
        <v>639</v>
      </c>
      <c r="CK86" t="s">
        <v>639</v>
      </c>
      <c r="CL86" t="s">
        <v>639</v>
      </c>
      <c r="CM86" t="s">
        <v>639</v>
      </c>
      <c r="CN86" t="s">
        <v>639</v>
      </c>
      <c r="CO86" t="s">
        <v>639</v>
      </c>
      <c r="CP86" t="s">
        <v>639</v>
      </c>
      <c r="CQ86" t="s">
        <v>409</v>
      </c>
      <c r="CR86" t="s">
        <v>639</v>
      </c>
      <c r="CS86" t="s">
        <v>639</v>
      </c>
      <c r="CT86" t="s">
        <v>240</v>
      </c>
      <c r="CU86" t="s">
        <v>240</v>
      </c>
      <c r="CV86" t="s">
        <v>7</v>
      </c>
      <c r="CW86" t="s">
        <v>751</v>
      </c>
      <c r="CX86" t="s">
        <v>746</v>
      </c>
      <c r="CY86" t="s">
        <v>241</v>
      </c>
      <c r="CZ86" t="s">
        <v>258</v>
      </c>
      <c r="DA86" t="s">
        <v>729</v>
      </c>
      <c r="DB86" t="s">
        <v>225</v>
      </c>
      <c r="DC86" t="s">
        <v>241</v>
      </c>
      <c r="DD86" t="s">
        <v>639</v>
      </c>
      <c r="DG86">
        <v>500</v>
      </c>
      <c r="DH86">
        <v>9</v>
      </c>
      <c r="DW86">
        <v>85</v>
      </c>
      <c r="DX86">
        <v>82</v>
      </c>
    </row>
    <row r="87" spans="1:128" x14ac:dyDescent="0.25">
      <c r="A87" t="s">
        <v>563</v>
      </c>
      <c r="B87" t="s">
        <v>474</v>
      </c>
      <c r="C87">
        <v>2</v>
      </c>
      <c r="D87" t="s">
        <v>786</v>
      </c>
      <c r="E87" t="s">
        <v>350</v>
      </c>
      <c r="F87" t="s">
        <v>340</v>
      </c>
      <c r="G87" t="s">
        <v>351</v>
      </c>
      <c r="H87" t="s">
        <v>452</v>
      </c>
      <c r="I87" t="s">
        <v>344</v>
      </c>
      <c r="AH87" t="s">
        <v>677</v>
      </c>
      <c r="AI87" t="s">
        <v>563</v>
      </c>
      <c r="AJ87" t="s">
        <v>529</v>
      </c>
      <c r="AM87" t="s">
        <v>480</v>
      </c>
      <c r="AN87">
        <v>1</v>
      </c>
      <c r="AO87" t="s">
        <v>873</v>
      </c>
      <c r="AP87" t="s">
        <v>317</v>
      </c>
      <c r="AR87" t="s">
        <v>567</v>
      </c>
      <c r="AY87" t="s">
        <v>551</v>
      </c>
      <c r="AZ87" t="s">
        <v>219</v>
      </c>
      <c r="BF87" t="s">
        <v>265</v>
      </c>
      <c r="BG87" t="s">
        <v>307</v>
      </c>
      <c r="BH87" t="s">
        <v>454</v>
      </c>
      <c r="BR87"/>
      <c r="BS87"/>
      <c r="BU87" s="5"/>
      <c r="BV87" s="5"/>
      <c r="BX87"/>
      <c r="CA87" s="3"/>
      <c r="CB87" t="s">
        <v>529</v>
      </c>
      <c r="CC87" t="s">
        <v>6</v>
      </c>
      <c r="CD87" t="s">
        <v>178</v>
      </c>
      <c r="CE87" t="s">
        <v>6</v>
      </c>
      <c r="CF87" t="s">
        <v>244</v>
      </c>
      <c r="CI87" t="s">
        <v>647</v>
      </c>
      <c r="CJ87" t="s">
        <v>647</v>
      </c>
      <c r="CK87" t="s">
        <v>647</v>
      </c>
      <c r="CL87" t="s">
        <v>647</v>
      </c>
      <c r="CM87" t="s">
        <v>647</v>
      </c>
      <c r="CN87" t="s">
        <v>647</v>
      </c>
      <c r="CO87" t="s">
        <v>647</v>
      </c>
      <c r="CP87" t="s">
        <v>647</v>
      </c>
      <c r="CQ87" t="s">
        <v>409</v>
      </c>
      <c r="CR87" t="s">
        <v>647</v>
      </c>
      <c r="CS87" t="s">
        <v>647</v>
      </c>
      <c r="CT87" t="s">
        <v>270</v>
      </c>
      <c r="CU87" t="s">
        <v>270</v>
      </c>
      <c r="CW87" t="s">
        <v>762</v>
      </c>
      <c r="CX87" t="s">
        <v>753</v>
      </c>
      <c r="CY87" t="s">
        <v>241</v>
      </c>
      <c r="CZ87" t="s">
        <v>224</v>
      </c>
      <c r="DA87" t="s">
        <v>731</v>
      </c>
      <c r="DB87" t="s">
        <v>730</v>
      </c>
      <c r="DC87" t="s">
        <v>241</v>
      </c>
      <c r="DD87" t="s">
        <v>647</v>
      </c>
      <c r="DG87">
        <v>600</v>
      </c>
      <c r="DH87">
        <v>10</v>
      </c>
      <c r="DW87">
        <v>86</v>
      </c>
      <c r="DX87">
        <v>83</v>
      </c>
    </row>
    <row r="88" spans="1:128" x14ac:dyDescent="0.25">
      <c r="A88" t="s">
        <v>564</v>
      </c>
      <c r="B88" t="s">
        <v>474</v>
      </c>
      <c r="C88">
        <v>3</v>
      </c>
      <c r="D88" t="s">
        <v>777</v>
      </c>
      <c r="E88" t="s">
        <v>350</v>
      </c>
      <c r="F88" t="s">
        <v>340</v>
      </c>
      <c r="G88" t="s">
        <v>351</v>
      </c>
      <c r="H88" t="s">
        <v>486</v>
      </c>
      <c r="I88" t="s">
        <v>344</v>
      </c>
      <c r="AH88" t="s">
        <v>679</v>
      </c>
      <c r="AI88" t="s">
        <v>564</v>
      </c>
      <c r="AJ88" t="s">
        <v>534</v>
      </c>
      <c r="AM88" t="s">
        <v>480</v>
      </c>
      <c r="AN88">
        <v>1</v>
      </c>
      <c r="AO88" t="s">
        <v>874</v>
      </c>
      <c r="AP88" t="s">
        <v>317</v>
      </c>
      <c r="AQ88" t="s">
        <v>527</v>
      </c>
      <c r="AR88" t="s">
        <v>568</v>
      </c>
      <c r="AW88" t="s">
        <v>193</v>
      </c>
      <c r="AY88" t="s">
        <v>573</v>
      </c>
      <c r="AZ88" t="s">
        <v>254</v>
      </c>
      <c r="BF88" t="s">
        <v>276</v>
      </c>
      <c r="BG88" t="s">
        <v>527</v>
      </c>
      <c r="BH88" t="s">
        <v>308</v>
      </c>
      <c r="BR88"/>
      <c r="BS88"/>
      <c r="BU88" s="5"/>
      <c r="BV88" s="5"/>
      <c r="BX88"/>
      <c r="CA88" s="3"/>
      <c r="CB88" t="s">
        <v>534</v>
      </c>
      <c r="CC88" t="s">
        <v>412</v>
      </c>
      <c r="CE88" t="s">
        <v>6</v>
      </c>
      <c r="CI88" t="s">
        <v>661</v>
      </c>
      <c r="CJ88" t="s">
        <v>661</v>
      </c>
      <c r="CK88" t="s">
        <v>661</v>
      </c>
      <c r="CL88" t="s">
        <v>661</v>
      </c>
      <c r="CM88" t="s">
        <v>661</v>
      </c>
      <c r="CN88" t="s">
        <v>661</v>
      </c>
      <c r="CO88" t="s">
        <v>661</v>
      </c>
      <c r="CP88" t="s">
        <v>661</v>
      </c>
      <c r="CR88" t="s">
        <v>661</v>
      </c>
      <c r="CS88" t="s">
        <v>661</v>
      </c>
      <c r="CT88" t="s">
        <v>279</v>
      </c>
      <c r="CU88" t="s">
        <v>279</v>
      </c>
      <c r="CV88" t="s">
        <v>7</v>
      </c>
      <c r="CW88" t="s">
        <v>765</v>
      </c>
      <c r="CX88" t="s">
        <v>756</v>
      </c>
      <c r="CY88" t="s">
        <v>7</v>
      </c>
      <c r="CZ88" t="s">
        <v>271</v>
      </c>
      <c r="DA88" t="s">
        <v>730</v>
      </c>
      <c r="DB88" t="s">
        <v>730</v>
      </c>
      <c r="DD88" t="s">
        <v>661</v>
      </c>
      <c r="DG88">
        <v>751</v>
      </c>
      <c r="DH88">
        <v>12</v>
      </c>
      <c r="DW88">
        <v>87</v>
      </c>
      <c r="DX88">
        <v>84</v>
      </c>
    </row>
    <row r="89" spans="1:128" x14ac:dyDescent="0.25">
      <c r="A89" t="s">
        <v>564</v>
      </c>
      <c r="B89" t="s">
        <v>474</v>
      </c>
      <c r="C89">
        <v>3</v>
      </c>
      <c r="D89" t="s">
        <v>777</v>
      </c>
      <c r="E89" t="s">
        <v>350</v>
      </c>
      <c r="F89" t="s">
        <v>340</v>
      </c>
      <c r="G89" t="s">
        <v>351</v>
      </c>
      <c r="H89" t="s">
        <v>486</v>
      </c>
      <c r="I89" t="s">
        <v>344</v>
      </c>
      <c r="AH89" t="s">
        <v>678</v>
      </c>
      <c r="AI89" t="s">
        <v>564</v>
      </c>
      <c r="AM89" t="s">
        <v>480</v>
      </c>
      <c r="AN89">
        <v>2</v>
      </c>
      <c r="AO89" t="s">
        <v>875</v>
      </c>
      <c r="AP89" t="s">
        <v>317</v>
      </c>
      <c r="AQ89" t="s">
        <v>533</v>
      </c>
      <c r="AR89" t="s">
        <v>569</v>
      </c>
      <c r="AY89" t="s">
        <v>574</v>
      </c>
      <c r="AZ89" t="s">
        <v>267</v>
      </c>
      <c r="BF89" t="s">
        <v>265</v>
      </c>
      <c r="BG89" t="s">
        <v>570</v>
      </c>
      <c r="BH89" t="s">
        <v>454</v>
      </c>
      <c r="BR89"/>
      <c r="BS89"/>
      <c r="BU89" s="5"/>
      <c r="BV89" s="5"/>
      <c r="BX89"/>
      <c r="CA89" s="3"/>
      <c r="DG89">
        <v>800</v>
      </c>
      <c r="DH89">
        <v>12</v>
      </c>
      <c r="DW89">
        <v>88</v>
      </c>
      <c r="DX89">
        <v>85</v>
      </c>
    </row>
    <row r="90" spans="1:128" x14ac:dyDescent="0.25">
      <c r="A90" t="s">
        <v>565</v>
      </c>
      <c r="B90" t="s">
        <v>474</v>
      </c>
      <c r="C90">
        <v>4</v>
      </c>
      <c r="D90" t="s">
        <v>778</v>
      </c>
      <c r="E90" t="s">
        <v>350</v>
      </c>
      <c r="F90" t="s">
        <v>340</v>
      </c>
      <c r="G90" t="s">
        <v>351</v>
      </c>
      <c r="H90" t="s">
        <v>491</v>
      </c>
      <c r="I90" t="s">
        <v>344</v>
      </c>
      <c r="AH90" t="s">
        <v>680</v>
      </c>
      <c r="AI90" t="s">
        <v>565</v>
      </c>
      <c r="AJ90" t="s">
        <v>531</v>
      </c>
      <c r="AM90" t="s">
        <v>480</v>
      </c>
      <c r="AN90">
        <v>1</v>
      </c>
      <c r="AO90" t="s">
        <v>876</v>
      </c>
      <c r="AP90" t="s">
        <v>317</v>
      </c>
      <c r="AQ90" t="s">
        <v>264</v>
      </c>
      <c r="AR90" t="s">
        <v>571</v>
      </c>
      <c r="AW90" t="s">
        <v>222</v>
      </c>
      <c r="AY90" t="s">
        <v>552</v>
      </c>
      <c r="AZ90" t="s">
        <v>219</v>
      </c>
      <c r="BF90" t="s">
        <v>252</v>
      </c>
      <c r="BG90" t="s">
        <v>570</v>
      </c>
      <c r="BH90" t="s">
        <v>308</v>
      </c>
      <c r="BR90"/>
      <c r="BS90"/>
      <c r="BU90" s="5"/>
      <c r="BV90" s="5"/>
      <c r="BX90"/>
      <c r="CA90" s="3"/>
      <c r="CB90" t="s">
        <v>531</v>
      </c>
      <c r="CC90" t="s">
        <v>6</v>
      </c>
      <c r="CD90" t="s">
        <v>116</v>
      </c>
      <c r="CE90" t="s">
        <v>6</v>
      </c>
      <c r="CF90" t="s">
        <v>244</v>
      </c>
      <c r="CG90" t="s">
        <v>226</v>
      </c>
      <c r="CH90" t="s">
        <v>483</v>
      </c>
      <c r="CI90" t="s">
        <v>651</v>
      </c>
      <c r="CJ90" t="s">
        <v>651</v>
      </c>
      <c r="CK90" t="s">
        <v>651</v>
      </c>
      <c r="CL90" t="s">
        <v>651</v>
      </c>
      <c r="CM90" t="s">
        <v>651</v>
      </c>
      <c r="CN90" t="s">
        <v>651</v>
      </c>
      <c r="CO90" t="s">
        <v>651</v>
      </c>
      <c r="CP90" t="s">
        <v>651</v>
      </c>
      <c r="CQ90" t="s">
        <v>408</v>
      </c>
      <c r="CR90" t="s">
        <v>651</v>
      </c>
      <c r="CS90" t="s">
        <v>651</v>
      </c>
      <c r="CT90" t="s">
        <v>279</v>
      </c>
      <c r="CU90" t="s">
        <v>279</v>
      </c>
      <c r="CV90" t="s">
        <v>241</v>
      </c>
      <c r="CW90" t="s">
        <v>763</v>
      </c>
      <c r="CX90" t="s">
        <v>754</v>
      </c>
      <c r="CY90" t="s">
        <v>7</v>
      </c>
      <c r="CZ90" t="s">
        <v>242</v>
      </c>
      <c r="DA90" t="s">
        <v>732</v>
      </c>
      <c r="DB90" t="s">
        <v>729</v>
      </c>
      <c r="DC90" t="s">
        <v>241</v>
      </c>
      <c r="DD90" t="s">
        <v>651</v>
      </c>
      <c r="DF90" t="s">
        <v>241</v>
      </c>
      <c r="DG90">
        <v>21</v>
      </c>
      <c r="DH90">
        <v>2</v>
      </c>
      <c r="DW90">
        <v>89</v>
      </c>
      <c r="DX90">
        <v>86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12F5-C062-4A86-9364-658B77933A8A}">
  <sheetPr>
    <tabColor theme="1"/>
  </sheetPr>
  <dimension ref="A1:BG32"/>
  <sheetViews>
    <sheetView zoomScaleNormal="100" workbookViewId="0">
      <selection activeCell="D20" sqref="D20"/>
    </sheetView>
  </sheetViews>
  <sheetFormatPr baseColWidth="10" defaultColWidth="9.140625" defaultRowHeight="15" x14ac:dyDescent="0.25"/>
  <cols>
    <col min="1" max="1" width="11.5703125" bestFit="1" customWidth="1"/>
    <col min="2" max="2" width="14" bestFit="1" customWidth="1"/>
    <col min="3" max="3" width="18.5703125" bestFit="1" customWidth="1"/>
    <col min="4" max="4" width="16.5703125" style="33" bestFit="1" customWidth="1"/>
    <col min="5" max="5" width="17" bestFit="1" customWidth="1"/>
    <col min="6" max="6" width="27.7109375" bestFit="1" customWidth="1"/>
    <col min="7" max="7" width="24.140625" bestFit="1" customWidth="1"/>
    <col min="8" max="8" width="26" bestFit="1" customWidth="1"/>
    <col min="9" max="9" width="19.42578125" bestFit="1" customWidth="1"/>
    <col min="10" max="11" width="15.42578125" bestFit="1" customWidth="1"/>
    <col min="12" max="12" width="20.140625" bestFit="1" customWidth="1"/>
    <col min="13" max="13" width="12.85546875" bestFit="1" customWidth="1"/>
    <col min="14" max="14" width="19.42578125" bestFit="1" customWidth="1"/>
    <col min="15" max="15" width="23.85546875" bestFit="1" customWidth="1"/>
    <col min="16" max="16" width="15.28515625" bestFit="1" customWidth="1"/>
    <col min="17" max="17" width="19.85546875" bestFit="1" customWidth="1"/>
    <col min="18" max="18" width="22.5703125" bestFit="1" customWidth="1"/>
    <col min="19" max="19" width="20.140625" bestFit="1" customWidth="1"/>
    <col min="20" max="20" width="21" bestFit="1" customWidth="1"/>
    <col min="21" max="21" width="16.140625" bestFit="1" customWidth="1"/>
    <col min="22" max="22" width="22.140625" bestFit="1" customWidth="1"/>
    <col min="23" max="24" width="21.42578125" bestFit="1" customWidth="1"/>
    <col min="25" max="25" width="31.140625" bestFit="1" customWidth="1"/>
    <col min="26" max="26" width="32.28515625" bestFit="1" customWidth="1"/>
    <col min="27" max="27" width="38.5703125" bestFit="1" customWidth="1"/>
    <col min="28" max="28" width="37.85546875" bestFit="1" customWidth="1"/>
    <col min="29" max="29" width="27.5703125" bestFit="1" customWidth="1"/>
    <col min="30" max="30" width="31.42578125" bestFit="1" customWidth="1"/>
    <col min="31" max="31" width="43.5703125" bestFit="1" customWidth="1"/>
    <col min="32" max="32" width="33.140625" bestFit="1" customWidth="1"/>
    <col min="33" max="33" width="32.28515625" bestFit="1" customWidth="1"/>
    <col min="34" max="34" width="29.85546875" bestFit="1" customWidth="1"/>
    <col min="35" max="35" width="29.42578125" bestFit="1" customWidth="1"/>
    <col min="36" max="36" width="29.28515625" bestFit="1" customWidth="1"/>
    <col min="37" max="37" width="30.140625" bestFit="1" customWidth="1"/>
    <col min="38" max="38" width="29.42578125" bestFit="1" customWidth="1"/>
    <col min="39" max="39" width="34.140625" bestFit="1" customWidth="1"/>
    <col min="40" max="40" width="40.140625" bestFit="1" customWidth="1"/>
    <col min="41" max="42" width="39.42578125" bestFit="1" customWidth="1"/>
    <col min="43" max="43" width="32.42578125" bestFit="1" customWidth="1"/>
    <col min="44" max="44" width="48" bestFit="1" customWidth="1"/>
    <col min="45" max="45" width="31.140625" bestFit="1" customWidth="1"/>
    <col min="46" max="46" width="30.7109375" bestFit="1" customWidth="1"/>
    <col min="47" max="47" width="34.42578125" bestFit="1" customWidth="1"/>
    <col min="48" max="48" width="34.140625" bestFit="1" customWidth="1"/>
    <col min="49" max="49" width="55.42578125" bestFit="1" customWidth="1"/>
    <col min="50" max="50" width="36.7109375" bestFit="1" customWidth="1"/>
    <col min="51" max="51" width="41.28515625" bestFit="1" customWidth="1"/>
    <col min="52" max="52" width="52.7109375" bestFit="1" customWidth="1"/>
    <col min="53" max="53" width="36.28515625" bestFit="1" customWidth="1"/>
    <col min="54" max="54" width="30.5703125" bestFit="1" customWidth="1"/>
    <col min="55" max="55" width="46" bestFit="1" customWidth="1"/>
    <col min="56" max="56" width="30.5703125" bestFit="1" customWidth="1"/>
    <col min="57" max="57" width="31" bestFit="1" customWidth="1"/>
    <col min="58" max="58" width="43.140625" bestFit="1" customWidth="1"/>
    <col min="59" max="59" width="28.7109375" bestFit="1" customWidth="1"/>
    <col min="60" max="60" width="28.7109375" customWidth="1"/>
    <col min="61" max="61" width="28.85546875" customWidth="1"/>
  </cols>
  <sheetData>
    <row r="1" spans="1:59" x14ac:dyDescent="0.25">
      <c r="A1" t="s">
        <v>15</v>
      </c>
      <c r="B1" t="s">
        <v>476</v>
      </c>
      <c r="C1" t="s">
        <v>16</v>
      </c>
      <c r="D1" s="33" t="s">
        <v>17</v>
      </c>
      <c r="E1" t="s">
        <v>20</v>
      </c>
      <c r="F1" t="s">
        <v>71</v>
      </c>
      <c r="G1" t="s">
        <v>72</v>
      </c>
      <c r="H1" t="s">
        <v>73</v>
      </c>
      <c r="I1" t="s">
        <v>309</v>
      </c>
      <c r="J1" t="s">
        <v>74</v>
      </c>
      <c r="K1" t="s">
        <v>75</v>
      </c>
      <c r="L1" t="s">
        <v>76</v>
      </c>
      <c r="M1" t="s">
        <v>22</v>
      </c>
      <c r="N1" t="s">
        <v>23</v>
      </c>
      <c r="O1" t="s">
        <v>24</v>
      </c>
      <c r="P1" t="s">
        <v>477</v>
      </c>
      <c r="Q1" t="s">
        <v>124</v>
      </c>
      <c r="R1" t="s">
        <v>125</v>
      </c>
      <c r="S1" t="s">
        <v>149</v>
      </c>
      <c r="T1" t="s">
        <v>134</v>
      </c>
      <c r="U1" t="s">
        <v>129</v>
      </c>
      <c r="V1" t="s">
        <v>130</v>
      </c>
      <c r="W1" t="s">
        <v>131</v>
      </c>
      <c r="X1" t="s">
        <v>152</v>
      </c>
      <c r="Y1" t="s">
        <v>439</v>
      </c>
      <c r="Z1" t="s">
        <v>153</v>
      </c>
      <c r="AA1" t="s">
        <v>154</v>
      </c>
      <c r="AB1" t="s">
        <v>306</v>
      </c>
      <c r="AC1" t="s">
        <v>28</v>
      </c>
      <c r="AD1" t="s">
        <v>155</v>
      </c>
      <c r="AE1" t="s">
        <v>156</v>
      </c>
      <c r="AF1" t="s">
        <v>772</v>
      </c>
      <c r="AG1" t="s">
        <v>164</v>
      </c>
      <c r="AH1" t="s">
        <v>183</v>
      </c>
      <c r="AI1" t="s">
        <v>184</v>
      </c>
      <c r="AJ1" t="s">
        <v>165</v>
      </c>
      <c r="AK1" t="s">
        <v>166</v>
      </c>
      <c r="AL1" t="s">
        <v>180</v>
      </c>
      <c r="AM1" t="s">
        <v>339</v>
      </c>
      <c r="AN1" t="s">
        <v>181</v>
      </c>
      <c r="AO1" t="s">
        <v>444</v>
      </c>
      <c r="AP1" t="s">
        <v>445</v>
      </c>
      <c r="AQ1" t="s">
        <v>182</v>
      </c>
      <c r="AR1" t="s">
        <v>185</v>
      </c>
      <c r="AS1" t="s">
        <v>440</v>
      </c>
      <c r="AT1" t="s">
        <v>441</v>
      </c>
      <c r="AU1" t="s">
        <v>158</v>
      </c>
      <c r="AV1" t="s">
        <v>159</v>
      </c>
      <c r="AW1" t="s">
        <v>338</v>
      </c>
      <c r="AX1" t="s">
        <v>747</v>
      </c>
      <c r="AY1" t="s">
        <v>748</v>
      </c>
      <c r="AZ1" t="s">
        <v>749</v>
      </c>
      <c r="BA1" t="s">
        <v>160</v>
      </c>
      <c r="BB1" t="s">
        <v>161</v>
      </c>
      <c r="BC1" t="s">
        <v>162</v>
      </c>
      <c r="BD1" t="s">
        <v>163</v>
      </c>
      <c r="BE1" t="s">
        <v>356</v>
      </c>
      <c r="BF1" t="s">
        <v>470</v>
      </c>
      <c r="BG1" t="s">
        <v>157</v>
      </c>
    </row>
    <row r="2" spans="1:59" x14ac:dyDescent="0.25">
      <c r="A2" t="s">
        <v>451</v>
      </c>
      <c r="B2" t="s">
        <v>478</v>
      </c>
      <c r="C2">
        <v>0</v>
      </c>
      <c r="M2" t="s">
        <v>481</v>
      </c>
      <c r="N2" t="s">
        <v>451</v>
      </c>
      <c r="P2" t="s">
        <v>475</v>
      </c>
      <c r="Q2">
        <v>1</v>
      </c>
      <c r="R2" t="s">
        <v>303</v>
      </c>
      <c r="V2">
        <v>0</v>
      </c>
      <c r="W2">
        <v>0</v>
      </c>
    </row>
    <row r="3" spans="1:59" x14ac:dyDescent="0.25">
      <c r="A3" t="s">
        <v>2</v>
      </c>
      <c r="B3" t="s">
        <v>478</v>
      </c>
      <c r="C3">
        <v>1</v>
      </c>
      <c r="D3" s="33">
        <v>44165</v>
      </c>
      <c r="E3" t="s">
        <v>357</v>
      </c>
      <c r="F3" t="s">
        <v>299</v>
      </c>
      <c r="H3" t="s">
        <v>358</v>
      </c>
      <c r="I3" t="s">
        <v>357</v>
      </c>
      <c r="J3" t="s">
        <v>359</v>
      </c>
      <c r="L3" t="s">
        <v>450</v>
      </c>
      <c r="M3" t="s">
        <v>637</v>
      </c>
      <c r="N3" t="s">
        <v>2</v>
      </c>
      <c r="O3" t="s">
        <v>3</v>
      </c>
      <c r="P3" t="s">
        <v>475</v>
      </c>
      <c r="Q3">
        <v>2</v>
      </c>
      <c r="R3" t="s">
        <v>303</v>
      </c>
      <c r="S3" t="s">
        <v>598</v>
      </c>
      <c r="T3" t="s">
        <v>552</v>
      </c>
      <c r="X3" t="s">
        <v>193</v>
      </c>
      <c r="AC3" t="s">
        <v>3</v>
      </c>
      <c r="AD3" t="s">
        <v>239</v>
      </c>
      <c r="AF3" t="s">
        <v>239</v>
      </c>
      <c r="AG3" t="s">
        <v>244</v>
      </c>
      <c r="AJ3" t="s">
        <v>467</v>
      </c>
      <c r="AK3" t="s">
        <v>467</v>
      </c>
      <c r="AL3" t="s">
        <v>467</v>
      </c>
      <c r="AM3" t="s">
        <v>467</v>
      </c>
      <c r="AN3" t="s">
        <v>467</v>
      </c>
      <c r="AO3" t="s">
        <v>467</v>
      </c>
      <c r="AP3" t="s">
        <v>467</v>
      </c>
      <c r="AQ3" t="s">
        <v>467</v>
      </c>
      <c r="AR3" t="s">
        <v>408</v>
      </c>
      <c r="AS3" t="s">
        <v>467</v>
      </c>
      <c r="AT3" t="s">
        <v>467</v>
      </c>
      <c r="AU3" t="s">
        <v>223</v>
      </c>
      <c r="AV3" t="s">
        <v>223</v>
      </c>
      <c r="AW3" t="s">
        <v>241</v>
      </c>
      <c r="AX3" t="s">
        <v>774</v>
      </c>
      <c r="AY3" t="s">
        <v>745</v>
      </c>
      <c r="AZ3" t="s">
        <v>7</v>
      </c>
      <c r="BA3" t="s">
        <v>271</v>
      </c>
      <c r="BB3" t="s">
        <v>773</v>
      </c>
      <c r="BC3" t="s">
        <v>729</v>
      </c>
      <c r="BD3" t="s">
        <v>7</v>
      </c>
      <c r="BE3" t="s">
        <v>467</v>
      </c>
      <c r="BG3" t="s">
        <v>241</v>
      </c>
    </row>
    <row r="4" spans="1:59" x14ac:dyDescent="0.25">
      <c r="A4" t="s">
        <v>2</v>
      </c>
      <c r="B4" t="s">
        <v>478</v>
      </c>
      <c r="C4">
        <v>1</v>
      </c>
      <c r="D4" s="33">
        <v>44165</v>
      </c>
      <c r="E4" t="s">
        <v>357</v>
      </c>
      <c r="F4" t="s">
        <v>299</v>
      </c>
      <c r="H4" t="s">
        <v>358</v>
      </c>
      <c r="I4" t="s">
        <v>357</v>
      </c>
      <c r="J4" t="s">
        <v>359</v>
      </c>
      <c r="L4" t="s">
        <v>450</v>
      </c>
      <c r="M4" t="s">
        <v>482</v>
      </c>
      <c r="N4" t="s">
        <v>2</v>
      </c>
      <c r="O4" t="s">
        <v>3</v>
      </c>
      <c r="P4" t="s">
        <v>475</v>
      </c>
      <c r="Q4">
        <v>1</v>
      </c>
      <c r="R4" t="s">
        <v>303</v>
      </c>
      <c r="S4" t="s">
        <v>597</v>
      </c>
      <c r="T4" t="s">
        <v>574</v>
      </c>
      <c r="U4">
        <v>8</v>
      </c>
      <c r="V4">
        <v>0</v>
      </c>
      <c r="W4">
        <v>8</v>
      </c>
      <c r="X4" t="s">
        <v>222</v>
      </c>
      <c r="Z4" t="s">
        <v>625</v>
      </c>
      <c r="AA4" t="s">
        <v>626</v>
      </c>
      <c r="AC4" t="s">
        <v>3</v>
      </c>
      <c r="AD4" t="s">
        <v>239</v>
      </c>
      <c r="AF4" t="s">
        <v>239</v>
      </c>
      <c r="AG4" t="s">
        <v>244</v>
      </c>
      <c r="AJ4" t="s">
        <v>467</v>
      </c>
      <c r="AK4" t="s">
        <v>467</v>
      </c>
      <c r="AL4" t="s">
        <v>467</v>
      </c>
      <c r="AM4" t="s">
        <v>467</v>
      </c>
      <c r="AN4" t="s">
        <v>467</v>
      </c>
      <c r="AO4" t="s">
        <v>467</v>
      </c>
      <c r="AP4" t="s">
        <v>467</v>
      </c>
      <c r="AQ4" t="s">
        <v>467</v>
      </c>
      <c r="AR4" t="s">
        <v>408</v>
      </c>
      <c r="AS4" t="s">
        <v>467</v>
      </c>
      <c r="AT4" t="s">
        <v>467</v>
      </c>
      <c r="AU4" t="s">
        <v>223</v>
      </c>
      <c r="AV4" t="s">
        <v>223</v>
      </c>
      <c r="AW4" t="s">
        <v>241</v>
      </c>
      <c r="AX4" t="s">
        <v>774</v>
      </c>
      <c r="AY4" t="s">
        <v>745</v>
      </c>
      <c r="AZ4" t="s">
        <v>7</v>
      </c>
      <c r="BA4" t="s">
        <v>271</v>
      </c>
      <c r="BB4" t="s">
        <v>773</v>
      </c>
      <c r="BC4" t="s">
        <v>729</v>
      </c>
      <c r="BD4" t="s">
        <v>7</v>
      </c>
      <c r="BE4" t="s">
        <v>467</v>
      </c>
      <c r="BG4" t="s">
        <v>241</v>
      </c>
    </row>
    <row r="5" spans="1:59" x14ac:dyDescent="0.25">
      <c r="A5" t="s">
        <v>575</v>
      </c>
      <c r="B5" t="s">
        <v>478</v>
      </c>
      <c r="C5">
        <v>2</v>
      </c>
      <c r="D5" s="33">
        <v>44165</v>
      </c>
      <c r="E5" t="s">
        <v>357</v>
      </c>
      <c r="F5" t="s">
        <v>299</v>
      </c>
      <c r="H5" t="s">
        <v>358</v>
      </c>
      <c r="I5" t="s">
        <v>357</v>
      </c>
      <c r="J5" t="s">
        <v>359</v>
      </c>
      <c r="L5" t="s">
        <v>584</v>
      </c>
      <c r="M5" t="s">
        <v>638</v>
      </c>
      <c r="N5" t="s">
        <v>575</v>
      </c>
      <c r="O5" t="s">
        <v>524</v>
      </c>
      <c r="P5" t="s">
        <v>475</v>
      </c>
      <c r="Q5">
        <v>1</v>
      </c>
      <c r="R5" t="s">
        <v>303</v>
      </c>
      <c r="S5" t="s">
        <v>599</v>
      </c>
      <c r="T5" t="s">
        <v>600</v>
      </c>
      <c r="U5">
        <v>0.5</v>
      </c>
      <c r="V5">
        <v>0</v>
      </c>
      <c r="W5">
        <v>0.5</v>
      </c>
      <c r="X5" t="s">
        <v>222</v>
      </c>
      <c r="Z5" t="s">
        <v>85</v>
      </c>
      <c r="AA5" t="s">
        <v>366</v>
      </c>
      <c r="AC5" t="s">
        <v>524</v>
      </c>
      <c r="AD5" t="s">
        <v>412</v>
      </c>
      <c r="AF5" t="s">
        <v>437</v>
      </c>
      <c r="AG5" t="s">
        <v>226</v>
      </c>
      <c r="AJ5" t="s">
        <v>639</v>
      </c>
      <c r="AK5" t="s">
        <v>639</v>
      </c>
      <c r="AL5" t="s">
        <v>639</v>
      </c>
      <c r="AM5" t="s">
        <v>639</v>
      </c>
      <c r="AN5" t="s">
        <v>639</v>
      </c>
      <c r="AO5" t="s">
        <v>639</v>
      </c>
      <c r="AP5" t="s">
        <v>639</v>
      </c>
      <c r="AQ5" t="s">
        <v>639</v>
      </c>
      <c r="AR5" t="s">
        <v>409</v>
      </c>
      <c r="AS5" t="s">
        <v>639</v>
      </c>
      <c r="AT5" t="s">
        <v>639</v>
      </c>
      <c r="AU5" t="s">
        <v>240</v>
      </c>
      <c r="AV5" t="s">
        <v>240</v>
      </c>
      <c r="AW5" t="s">
        <v>7</v>
      </c>
      <c r="AX5" t="s">
        <v>751</v>
      </c>
      <c r="AY5" t="s">
        <v>746</v>
      </c>
      <c r="AZ5" t="s">
        <v>241</v>
      </c>
      <c r="BA5" t="s">
        <v>258</v>
      </c>
      <c r="BB5" t="s">
        <v>729</v>
      </c>
      <c r="BC5" t="s">
        <v>225</v>
      </c>
      <c r="BD5" t="s">
        <v>241</v>
      </c>
      <c r="BE5" t="s">
        <v>639</v>
      </c>
    </row>
    <row r="6" spans="1:59" x14ac:dyDescent="0.25">
      <c r="A6" t="s">
        <v>575</v>
      </c>
      <c r="B6" t="s">
        <v>478</v>
      </c>
      <c r="C6">
        <v>2</v>
      </c>
      <c r="D6" s="33">
        <v>44165</v>
      </c>
      <c r="E6" t="s">
        <v>357</v>
      </c>
      <c r="F6" t="s">
        <v>299</v>
      </c>
      <c r="H6" t="s">
        <v>358</v>
      </c>
      <c r="I6" t="s">
        <v>357</v>
      </c>
      <c r="J6" t="s">
        <v>359</v>
      </c>
      <c r="L6" t="s">
        <v>584</v>
      </c>
      <c r="M6" t="s">
        <v>640</v>
      </c>
      <c r="N6" t="s">
        <v>575</v>
      </c>
      <c r="O6" t="s">
        <v>526</v>
      </c>
      <c r="P6" t="s">
        <v>475</v>
      </c>
      <c r="Q6">
        <v>2</v>
      </c>
      <c r="R6" t="s">
        <v>303</v>
      </c>
      <c r="S6" t="s">
        <v>598</v>
      </c>
      <c r="T6" t="s">
        <v>552</v>
      </c>
      <c r="U6">
        <v>0.5</v>
      </c>
      <c r="X6" t="s">
        <v>222</v>
      </c>
      <c r="Z6" t="s">
        <v>627</v>
      </c>
      <c r="AA6" t="s">
        <v>366</v>
      </c>
      <c r="AC6" t="s">
        <v>526</v>
      </c>
      <c r="AD6" t="s">
        <v>437</v>
      </c>
      <c r="AF6" t="s">
        <v>239</v>
      </c>
      <c r="AG6" t="s">
        <v>226</v>
      </c>
      <c r="AH6" t="s">
        <v>226</v>
      </c>
      <c r="AJ6" t="s">
        <v>641</v>
      </c>
      <c r="AK6" t="s">
        <v>641</v>
      </c>
      <c r="AL6" t="s">
        <v>641</v>
      </c>
      <c r="AM6" t="s">
        <v>641</v>
      </c>
      <c r="AN6" t="s">
        <v>641</v>
      </c>
      <c r="AO6" t="s">
        <v>641</v>
      </c>
      <c r="AP6" t="s">
        <v>641</v>
      </c>
      <c r="AQ6" t="s">
        <v>641</v>
      </c>
      <c r="AR6" t="s">
        <v>408</v>
      </c>
      <c r="AS6" t="s">
        <v>641</v>
      </c>
      <c r="AT6" t="s">
        <v>641</v>
      </c>
      <c r="AU6" t="s">
        <v>257</v>
      </c>
      <c r="AV6" t="s">
        <v>257</v>
      </c>
      <c r="AW6" t="s">
        <v>241</v>
      </c>
      <c r="AX6" t="s">
        <v>761</v>
      </c>
      <c r="AY6" t="s">
        <v>752</v>
      </c>
      <c r="AZ6" t="s">
        <v>7</v>
      </c>
      <c r="BA6" t="s">
        <v>242</v>
      </c>
      <c r="BB6" t="s">
        <v>730</v>
      </c>
      <c r="BD6" t="s">
        <v>7</v>
      </c>
      <c r="BE6" t="s">
        <v>641</v>
      </c>
    </row>
    <row r="7" spans="1:59" x14ac:dyDescent="0.25">
      <c r="A7" t="s">
        <v>575</v>
      </c>
      <c r="B7" t="s">
        <v>478</v>
      </c>
      <c r="C7">
        <v>2</v>
      </c>
      <c r="D7" s="33">
        <v>44165</v>
      </c>
      <c r="E7" t="s">
        <v>357</v>
      </c>
      <c r="F7" t="s">
        <v>299</v>
      </c>
      <c r="H7" t="s">
        <v>358</v>
      </c>
      <c r="I7" t="s">
        <v>357</v>
      </c>
      <c r="J7" t="s">
        <v>359</v>
      </c>
      <c r="L7" t="s">
        <v>584</v>
      </c>
      <c r="M7" t="s">
        <v>642</v>
      </c>
      <c r="N7" t="s">
        <v>575</v>
      </c>
      <c r="P7" t="s">
        <v>475</v>
      </c>
      <c r="Q7">
        <v>4</v>
      </c>
      <c r="R7" t="s">
        <v>303</v>
      </c>
      <c r="S7" t="s">
        <v>602</v>
      </c>
      <c r="T7" t="s">
        <v>552</v>
      </c>
      <c r="U7">
        <v>0.2</v>
      </c>
      <c r="X7" t="s">
        <v>222</v>
      </c>
      <c r="Y7" t="s">
        <v>629</v>
      </c>
      <c r="AA7" t="s">
        <v>366</v>
      </c>
    </row>
    <row r="8" spans="1:59" x14ac:dyDescent="0.25">
      <c r="A8" t="s">
        <v>575</v>
      </c>
      <c r="B8" t="s">
        <v>478</v>
      </c>
      <c r="C8">
        <v>2</v>
      </c>
      <c r="D8" s="33">
        <v>44165</v>
      </c>
      <c r="E8" t="s">
        <v>357</v>
      </c>
      <c r="F8" t="s">
        <v>299</v>
      </c>
      <c r="H8" t="s">
        <v>358</v>
      </c>
      <c r="I8" t="s">
        <v>357</v>
      </c>
      <c r="J8" t="s">
        <v>359</v>
      </c>
      <c r="L8" t="s">
        <v>584</v>
      </c>
      <c r="M8" t="s">
        <v>643</v>
      </c>
      <c r="N8" t="s">
        <v>575</v>
      </c>
      <c r="P8" t="s">
        <v>475</v>
      </c>
      <c r="Q8">
        <v>3</v>
      </c>
      <c r="R8" t="s">
        <v>303</v>
      </c>
      <c r="S8" t="s">
        <v>601</v>
      </c>
      <c r="T8" t="s">
        <v>448</v>
      </c>
      <c r="U8">
        <v>4</v>
      </c>
      <c r="X8" t="s">
        <v>222</v>
      </c>
      <c r="AA8" t="s">
        <v>628</v>
      </c>
    </row>
    <row r="9" spans="1:59" x14ac:dyDescent="0.25">
      <c r="A9" t="s">
        <v>575</v>
      </c>
      <c r="B9" t="s">
        <v>478</v>
      </c>
      <c r="C9">
        <v>2</v>
      </c>
      <c r="D9" s="33">
        <v>44165</v>
      </c>
      <c r="E9" t="s">
        <v>357</v>
      </c>
      <c r="F9" t="s">
        <v>299</v>
      </c>
      <c r="H9" t="s">
        <v>358</v>
      </c>
      <c r="I9" t="s">
        <v>357</v>
      </c>
      <c r="J9" t="s">
        <v>359</v>
      </c>
      <c r="L9" t="s">
        <v>584</v>
      </c>
      <c r="M9" t="s">
        <v>644</v>
      </c>
      <c r="N9" t="s">
        <v>575</v>
      </c>
      <c r="P9" t="s">
        <v>475</v>
      </c>
      <c r="Q9">
        <v>6</v>
      </c>
      <c r="R9" t="s">
        <v>303</v>
      </c>
      <c r="S9" t="s">
        <v>604</v>
      </c>
      <c r="T9" t="s">
        <v>572</v>
      </c>
    </row>
    <row r="10" spans="1:59" x14ac:dyDescent="0.25">
      <c r="A10" t="s">
        <v>575</v>
      </c>
      <c r="B10" t="s">
        <v>478</v>
      </c>
      <c r="C10">
        <v>2</v>
      </c>
      <c r="D10" s="33">
        <v>44165</v>
      </c>
      <c r="E10" t="s">
        <v>357</v>
      </c>
      <c r="F10" t="s">
        <v>299</v>
      </c>
      <c r="H10" t="s">
        <v>358</v>
      </c>
      <c r="I10" t="s">
        <v>357</v>
      </c>
      <c r="J10" t="s">
        <v>359</v>
      </c>
      <c r="L10" t="s">
        <v>584</v>
      </c>
      <c r="M10" t="s">
        <v>645</v>
      </c>
      <c r="N10" t="s">
        <v>575</v>
      </c>
      <c r="P10" t="s">
        <v>475</v>
      </c>
      <c r="Q10">
        <v>5</v>
      </c>
      <c r="R10" t="s">
        <v>303</v>
      </c>
      <c r="S10" t="s">
        <v>603</v>
      </c>
      <c r="U10">
        <v>0.6</v>
      </c>
    </row>
    <row r="11" spans="1:59" x14ac:dyDescent="0.25">
      <c r="A11" t="s">
        <v>576</v>
      </c>
      <c r="B11" t="s">
        <v>478</v>
      </c>
      <c r="C11">
        <v>3</v>
      </c>
      <c r="D11" s="33">
        <v>44165</v>
      </c>
      <c r="E11" t="s">
        <v>585</v>
      </c>
      <c r="F11" t="s">
        <v>360</v>
      </c>
      <c r="H11" t="s">
        <v>358</v>
      </c>
      <c r="I11" t="s">
        <v>357</v>
      </c>
      <c r="J11" t="s">
        <v>359</v>
      </c>
      <c r="L11" t="s">
        <v>586</v>
      </c>
      <c r="M11" t="s">
        <v>646</v>
      </c>
      <c r="N11" t="s">
        <v>576</v>
      </c>
      <c r="O11" t="s">
        <v>529</v>
      </c>
      <c r="P11" t="s">
        <v>475</v>
      </c>
      <c r="Q11">
        <v>3</v>
      </c>
      <c r="R11" t="s">
        <v>303</v>
      </c>
      <c r="S11" t="s">
        <v>449</v>
      </c>
      <c r="T11" t="s">
        <v>572</v>
      </c>
      <c r="AC11" t="s">
        <v>529</v>
      </c>
      <c r="AD11" t="s">
        <v>6</v>
      </c>
      <c r="AE11" t="s">
        <v>178</v>
      </c>
      <c r="AF11" t="s">
        <v>6</v>
      </c>
      <c r="AG11" t="s">
        <v>244</v>
      </c>
      <c r="AJ11" t="s">
        <v>647</v>
      </c>
      <c r="AK11" t="s">
        <v>647</v>
      </c>
      <c r="AL11" t="s">
        <v>647</v>
      </c>
      <c r="AM11" t="s">
        <v>647</v>
      </c>
      <c r="AN11" t="s">
        <v>647</v>
      </c>
      <c r="AO11" t="s">
        <v>647</v>
      </c>
      <c r="AP11" t="s">
        <v>647</v>
      </c>
      <c r="AQ11" t="s">
        <v>647</v>
      </c>
      <c r="AR11" t="s">
        <v>409</v>
      </c>
      <c r="AS11" t="s">
        <v>647</v>
      </c>
      <c r="AT11" t="s">
        <v>647</v>
      </c>
      <c r="AU11" t="s">
        <v>270</v>
      </c>
      <c r="AV11" t="s">
        <v>270</v>
      </c>
      <c r="AX11" t="s">
        <v>762</v>
      </c>
      <c r="AY11" t="s">
        <v>753</v>
      </c>
      <c r="AZ11" t="s">
        <v>241</v>
      </c>
      <c r="BA11" t="s">
        <v>224</v>
      </c>
      <c r="BB11" t="s">
        <v>731</v>
      </c>
      <c r="BC11" t="s">
        <v>730</v>
      </c>
      <c r="BD11" t="s">
        <v>241</v>
      </c>
      <c r="BE11" t="s">
        <v>647</v>
      </c>
    </row>
    <row r="12" spans="1:59" x14ac:dyDescent="0.25">
      <c r="A12" t="s">
        <v>576</v>
      </c>
      <c r="B12" t="s">
        <v>478</v>
      </c>
      <c r="C12">
        <v>3</v>
      </c>
      <c r="D12" s="33">
        <v>44165</v>
      </c>
      <c r="E12" t="s">
        <v>585</v>
      </c>
      <c r="F12" t="s">
        <v>360</v>
      </c>
      <c r="H12" t="s">
        <v>358</v>
      </c>
      <c r="I12" t="s">
        <v>357</v>
      </c>
      <c r="J12" t="s">
        <v>359</v>
      </c>
      <c r="L12" t="s">
        <v>586</v>
      </c>
      <c r="M12" t="s">
        <v>648</v>
      </c>
      <c r="N12" t="s">
        <v>576</v>
      </c>
      <c r="O12" t="s">
        <v>529</v>
      </c>
      <c r="P12" t="s">
        <v>475</v>
      </c>
      <c r="Q12">
        <v>2</v>
      </c>
      <c r="R12" t="s">
        <v>303</v>
      </c>
      <c r="S12" t="s">
        <v>606</v>
      </c>
      <c r="T12" t="s">
        <v>448</v>
      </c>
      <c r="U12">
        <v>5</v>
      </c>
      <c r="X12" t="s">
        <v>222</v>
      </c>
      <c r="Z12" t="s">
        <v>178</v>
      </c>
      <c r="AA12" t="s">
        <v>367</v>
      </c>
      <c r="AC12" t="s">
        <v>529</v>
      </c>
      <c r="AD12" t="s">
        <v>6</v>
      </c>
      <c r="AE12" t="s">
        <v>178</v>
      </c>
      <c r="AF12" t="s">
        <v>6</v>
      </c>
      <c r="AG12" t="s">
        <v>244</v>
      </c>
      <c r="AJ12" t="s">
        <v>647</v>
      </c>
      <c r="AK12" t="s">
        <v>647</v>
      </c>
      <c r="AL12" t="s">
        <v>647</v>
      </c>
      <c r="AM12" t="s">
        <v>647</v>
      </c>
      <c r="AN12" t="s">
        <v>647</v>
      </c>
      <c r="AO12" t="s">
        <v>647</v>
      </c>
      <c r="AP12" t="s">
        <v>647</v>
      </c>
      <c r="AQ12" t="s">
        <v>647</v>
      </c>
      <c r="AR12" t="s">
        <v>409</v>
      </c>
      <c r="AS12" t="s">
        <v>647</v>
      </c>
      <c r="AT12" t="s">
        <v>647</v>
      </c>
      <c r="AU12" t="s">
        <v>270</v>
      </c>
      <c r="AV12" t="s">
        <v>270</v>
      </c>
      <c r="AX12" t="s">
        <v>762</v>
      </c>
      <c r="AY12" t="s">
        <v>753</v>
      </c>
      <c r="AZ12" t="s">
        <v>241</v>
      </c>
      <c r="BA12" t="s">
        <v>224</v>
      </c>
      <c r="BB12" t="s">
        <v>731</v>
      </c>
      <c r="BC12" t="s">
        <v>730</v>
      </c>
      <c r="BD12" t="s">
        <v>241</v>
      </c>
      <c r="BE12" t="s">
        <v>647</v>
      </c>
    </row>
    <row r="13" spans="1:59" x14ac:dyDescent="0.25">
      <c r="A13" t="s">
        <v>576</v>
      </c>
      <c r="B13" t="s">
        <v>478</v>
      </c>
      <c r="C13">
        <v>3</v>
      </c>
      <c r="D13" s="33">
        <v>44165</v>
      </c>
      <c r="E13" t="s">
        <v>585</v>
      </c>
      <c r="F13" t="s">
        <v>360</v>
      </c>
      <c r="H13" t="s">
        <v>358</v>
      </c>
      <c r="I13" t="s">
        <v>357</v>
      </c>
      <c r="J13" t="s">
        <v>359</v>
      </c>
      <c r="L13" t="s">
        <v>586</v>
      </c>
      <c r="M13" t="s">
        <v>649</v>
      </c>
      <c r="N13" t="s">
        <v>576</v>
      </c>
      <c r="O13" t="s">
        <v>526</v>
      </c>
      <c r="P13" t="s">
        <v>475</v>
      </c>
      <c r="Q13">
        <v>1</v>
      </c>
      <c r="R13" t="s">
        <v>303</v>
      </c>
      <c r="S13" t="s">
        <v>605</v>
      </c>
      <c r="T13" t="s">
        <v>353</v>
      </c>
      <c r="U13">
        <v>3</v>
      </c>
      <c r="V13">
        <v>0</v>
      </c>
      <c r="W13">
        <v>3</v>
      </c>
      <c r="X13" t="s">
        <v>222</v>
      </c>
      <c r="AC13" t="s">
        <v>526</v>
      </c>
      <c r="AD13" t="s">
        <v>437</v>
      </c>
      <c r="AF13" t="s">
        <v>239</v>
      </c>
      <c r="AG13" t="s">
        <v>226</v>
      </c>
      <c r="AH13" t="s">
        <v>226</v>
      </c>
      <c r="AJ13" t="s">
        <v>641</v>
      </c>
      <c r="AK13" t="s">
        <v>641</v>
      </c>
      <c r="AL13" t="s">
        <v>641</v>
      </c>
      <c r="AM13" t="s">
        <v>641</v>
      </c>
      <c r="AN13" t="s">
        <v>641</v>
      </c>
      <c r="AO13" t="s">
        <v>641</v>
      </c>
      <c r="AP13" t="s">
        <v>641</v>
      </c>
      <c r="AQ13" t="s">
        <v>641</v>
      </c>
      <c r="AR13" t="s">
        <v>408</v>
      </c>
      <c r="AS13" t="s">
        <v>641</v>
      </c>
      <c r="AT13" t="s">
        <v>641</v>
      </c>
      <c r="AU13" t="s">
        <v>257</v>
      </c>
      <c r="AV13" t="s">
        <v>257</v>
      </c>
      <c r="AW13" t="s">
        <v>241</v>
      </c>
      <c r="AX13" t="s">
        <v>761</v>
      </c>
      <c r="AY13" t="s">
        <v>752</v>
      </c>
      <c r="AZ13" t="s">
        <v>7</v>
      </c>
      <c r="BA13" t="s">
        <v>242</v>
      </c>
      <c r="BB13" t="s">
        <v>730</v>
      </c>
      <c r="BD13" t="s">
        <v>7</v>
      </c>
      <c r="BE13" t="s">
        <v>641</v>
      </c>
    </row>
    <row r="14" spans="1:59" x14ac:dyDescent="0.25">
      <c r="A14" t="s">
        <v>577</v>
      </c>
      <c r="B14" t="s">
        <v>478</v>
      </c>
      <c r="C14">
        <v>4</v>
      </c>
      <c r="D14" s="33">
        <v>44165</v>
      </c>
      <c r="E14" t="s">
        <v>585</v>
      </c>
      <c r="F14" t="s">
        <v>361</v>
      </c>
      <c r="H14" t="s">
        <v>358</v>
      </c>
      <c r="I14" t="s">
        <v>357</v>
      </c>
      <c r="J14" t="s">
        <v>359</v>
      </c>
      <c r="L14" t="s">
        <v>586</v>
      </c>
      <c r="M14" t="s">
        <v>650</v>
      </c>
      <c r="N14" t="s">
        <v>577</v>
      </c>
      <c r="O14" t="s">
        <v>531</v>
      </c>
      <c r="P14" t="s">
        <v>475</v>
      </c>
      <c r="Q14">
        <v>1</v>
      </c>
      <c r="R14" t="s">
        <v>303</v>
      </c>
      <c r="S14" t="s">
        <v>607</v>
      </c>
      <c r="T14" t="s">
        <v>572</v>
      </c>
      <c r="V14">
        <v>0</v>
      </c>
      <c r="W14">
        <v>0</v>
      </c>
      <c r="X14" t="s">
        <v>222</v>
      </c>
      <c r="Z14" t="s">
        <v>116</v>
      </c>
      <c r="AA14" t="s">
        <v>368</v>
      </c>
      <c r="AC14" t="s">
        <v>531</v>
      </c>
      <c r="AD14" t="s">
        <v>6</v>
      </c>
      <c r="AE14" t="s">
        <v>116</v>
      </c>
      <c r="AF14" t="s">
        <v>6</v>
      </c>
      <c r="AG14" t="s">
        <v>244</v>
      </c>
      <c r="AH14" t="s">
        <v>226</v>
      </c>
      <c r="AI14" t="s">
        <v>483</v>
      </c>
      <c r="AJ14" t="s">
        <v>651</v>
      </c>
      <c r="AK14" t="s">
        <v>651</v>
      </c>
      <c r="AL14" t="s">
        <v>651</v>
      </c>
      <c r="AM14" t="s">
        <v>651</v>
      </c>
      <c r="AN14" t="s">
        <v>651</v>
      </c>
      <c r="AO14" t="s">
        <v>651</v>
      </c>
      <c r="AP14" t="s">
        <v>651</v>
      </c>
      <c r="AQ14" t="s">
        <v>651</v>
      </c>
      <c r="AR14" t="s">
        <v>408</v>
      </c>
      <c r="AS14" t="s">
        <v>651</v>
      </c>
      <c r="AT14" t="s">
        <v>651</v>
      </c>
      <c r="AU14" t="s">
        <v>279</v>
      </c>
      <c r="AV14" t="s">
        <v>279</v>
      </c>
      <c r="AW14" t="s">
        <v>241</v>
      </c>
      <c r="AX14" t="s">
        <v>763</v>
      </c>
      <c r="AY14" t="s">
        <v>754</v>
      </c>
      <c r="AZ14" t="s">
        <v>7</v>
      </c>
      <c r="BA14" t="s">
        <v>242</v>
      </c>
      <c r="BB14" t="s">
        <v>732</v>
      </c>
      <c r="BC14" t="s">
        <v>729</v>
      </c>
      <c r="BD14" t="s">
        <v>241</v>
      </c>
      <c r="BE14" t="s">
        <v>651</v>
      </c>
      <c r="BG14" t="s">
        <v>241</v>
      </c>
    </row>
    <row r="15" spans="1:59" x14ac:dyDescent="0.25">
      <c r="A15" t="s">
        <v>578</v>
      </c>
      <c r="B15" t="s">
        <v>478</v>
      </c>
      <c r="C15">
        <v>5</v>
      </c>
      <c r="D15" s="33">
        <v>44165</v>
      </c>
      <c r="E15" t="s">
        <v>587</v>
      </c>
      <c r="F15" t="s">
        <v>360</v>
      </c>
      <c r="H15" t="s">
        <v>358</v>
      </c>
      <c r="J15" t="s">
        <v>359</v>
      </c>
      <c r="L15" t="s">
        <v>586</v>
      </c>
      <c r="M15" t="s">
        <v>652</v>
      </c>
      <c r="N15" t="s">
        <v>578</v>
      </c>
      <c r="P15" t="s">
        <v>475</v>
      </c>
      <c r="Q15">
        <v>1</v>
      </c>
      <c r="R15" t="s">
        <v>303</v>
      </c>
      <c r="S15" t="s">
        <v>606</v>
      </c>
      <c r="T15" t="s">
        <v>574</v>
      </c>
      <c r="U15">
        <v>4</v>
      </c>
      <c r="V15">
        <v>0</v>
      </c>
      <c r="W15">
        <v>4</v>
      </c>
      <c r="X15" t="s">
        <v>222</v>
      </c>
    </row>
    <row r="16" spans="1:59" x14ac:dyDescent="0.25">
      <c r="A16" t="s">
        <v>579</v>
      </c>
      <c r="B16" t="s">
        <v>478</v>
      </c>
      <c r="C16">
        <v>6</v>
      </c>
      <c r="D16" s="33">
        <v>44165</v>
      </c>
      <c r="E16" t="s">
        <v>362</v>
      </c>
      <c r="F16" t="s">
        <v>299</v>
      </c>
      <c r="G16" t="s">
        <v>588</v>
      </c>
      <c r="H16" t="s">
        <v>358</v>
      </c>
      <c r="J16" t="s">
        <v>363</v>
      </c>
      <c r="K16">
        <v>220</v>
      </c>
      <c r="L16" t="s">
        <v>589</v>
      </c>
      <c r="M16" t="s">
        <v>653</v>
      </c>
      <c r="N16" t="s">
        <v>579</v>
      </c>
      <c r="P16" t="s">
        <v>475</v>
      </c>
      <c r="Q16">
        <v>4</v>
      </c>
      <c r="R16" t="s">
        <v>303</v>
      </c>
      <c r="S16" t="s">
        <v>612</v>
      </c>
      <c r="T16" t="s">
        <v>551</v>
      </c>
      <c r="U16">
        <v>0.5</v>
      </c>
      <c r="X16" t="s">
        <v>222</v>
      </c>
      <c r="AA16" t="s">
        <v>369</v>
      </c>
    </row>
    <row r="17" spans="1:59" x14ac:dyDescent="0.25">
      <c r="A17" t="s">
        <v>579</v>
      </c>
      <c r="B17" t="s">
        <v>478</v>
      </c>
      <c r="C17">
        <v>6</v>
      </c>
      <c r="D17" s="33">
        <v>44165</v>
      </c>
      <c r="E17" t="s">
        <v>362</v>
      </c>
      <c r="F17" t="s">
        <v>299</v>
      </c>
      <c r="G17" t="s">
        <v>588</v>
      </c>
      <c r="H17" t="s">
        <v>358</v>
      </c>
      <c r="J17" t="s">
        <v>363</v>
      </c>
      <c r="K17">
        <v>220</v>
      </c>
      <c r="L17" t="s">
        <v>589</v>
      </c>
      <c r="M17" t="s">
        <v>654</v>
      </c>
      <c r="N17" t="s">
        <v>579</v>
      </c>
      <c r="O17" t="s">
        <v>593</v>
      </c>
      <c r="P17" t="s">
        <v>475</v>
      </c>
      <c r="Q17">
        <v>5</v>
      </c>
      <c r="R17" t="s">
        <v>303</v>
      </c>
      <c r="S17" t="s">
        <v>613</v>
      </c>
      <c r="T17" t="s">
        <v>574</v>
      </c>
      <c r="U17">
        <v>4</v>
      </c>
      <c r="X17" t="s">
        <v>222</v>
      </c>
      <c r="Z17" t="s">
        <v>632</v>
      </c>
      <c r="AA17" t="s">
        <v>369</v>
      </c>
      <c r="AC17" t="s">
        <v>593</v>
      </c>
      <c r="AD17" t="s">
        <v>239</v>
      </c>
      <c r="AF17" t="s">
        <v>6</v>
      </c>
      <c r="AJ17" t="s">
        <v>655</v>
      </c>
      <c r="AK17" t="s">
        <v>655</v>
      </c>
      <c r="AL17" t="s">
        <v>655</v>
      </c>
      <c r="AM17" t="s">
        <v>655</v>
      </c>
      <c r="AN17" t="s">
        <v>655</v>
      </c>
      <c r="AO17" t="s">
        <v>655</v>
      </c>
      <c r="AP17" t="s">
        <v>655</v>
      </c>
      <c r="AQ17" t="s">
        <v>655</v>
      </c>
      <c r="AR17" t="s">
        <v>409</v>
      </c>
      <c r="AS17" t="s">
        <v>655</v>
      </c>
      <c r="AT17" t="s">
        <v>655</v>
      </c>
      <c r="AU17" t="s">
        <v>270</v>
      </c>
      <c r="AV17" t="s">
        <v>270</v>
      </c>
      <c r="AX17" t="s">
        <v>766</v>
      </c>
      <c r="AY17" t="s">
        <v>757</v>
      </c>
      <c r="AZ17" t="s">
        <v>241</v>
      </c>
      <c r="BB17" t="s">
        <v>729</v>
      </c>
      <c r="BC17" t="s">
        <v>225</v>
      </c>
      <c r="BE17" t="s">
        <v>655</v>
      </c>
    </row>
    <row r="18" spans="1:59" x14ac:dyDescent="0.25">
      <c r="A18" t="s">
        <v>579</v>
      </c>
      <c r="B18" t="s">
        <v>478</v>
      </c>
      <c r="C18">
        <v>6</v>
      </c>
      <c r="D18" s="33">
        <v>44165</v>
      </c>
      <c r="E18" t="s">
        <v>362</v>
      </c>
      <c r="F18" t="s">
        <v>299</v>
      </c>
      <c r="G18" t="s">
        <v>588</v>
      </c>
      <c r="H18" t="s">
        <v>358</v>
      </c>
      <c r="J18" t="s">
        <v>363</v>
      </c>
      <c r="K18">
        <v>220</v>
      </c>
      <c r="L18" t="s">
        <v>589</v>
      </c>
      <c r="M18" t="s">
        <v>656</v>
      </c>
      <c r="N18" t="s">
        <v>579</v>
      </c>
      <c r="P18" t="s">
        <v>475</v>
      </c>
      <c r="Q18">
        <v>6</v>
      </c>
      <c r="R18" t="s">
        <v>303</v>
      </c>
      <c r="S18" t="s">
        <v>614</v>
      </c>
      <c r="T18" t="s">
        <v>572</v>
      </c>
      <c r="U18">
        <v>3</v>
      </c>
      <c r="X18" t="s">
        <v>222</v>
      </c>
    </row>
    <row r="19" spans="1:59" x14ac:dyDescent="0.25">
      <c r="A19" t="s">
        <v>579</v>
      </c>
      <c r="B19" t="s">
        <v>478</v>
      </c>
      <c r="C19">
        <v>6</v>
      </c>
      <c r="D19" s="33">
        <v>44165</v>
      </c>
      <c r="E19" t="s">
        <v>362</v>
      </c>
      <c r="F19" t="s">
        <v>299</v>
      </c>
      <c r="G19" t="s">
        <v>588</v>
      </c>
      <c r="H19" t="s">
        <v>358</v>
      </c>
      <c r="J19" t="s">
        <v>363</v>
      </c>
      <c r="K19">
        <v>220</v>
      </c>
      <c r="L19" t="s">
        <v>589</v>
      </c>
      <c r="M19" t="s">
        <v>657</v>
      </c>
      <c r="N19" t="s">
        <v>579</v>
      </c>
      <c r="P19" t="s">
        <v>475</v>
      </c>
      <c r="Q19">
        <v>1</v>
      </c>
      <c r="R19" t="s">
        <v>303</v>
      </c>
      <c r="S19" t="s">
        <v>608</v>
      </c>
      <c r="T19" t="s">
        <v>609</v>
      </c>
      <c r="U19">
        <v>0.4</v>
      </c>
      <c r="V19">
        <v>0</v>
      </c>
      <c r="W19">
        <v>0.4</v>
      </c>
      <c r="X19" t="s">
        <v>222</v>
      </c>
      <c r="AA19" t="s">
        <v>369</v>
      </c>
    </row>
    <row r="20" spans="1:59" x14ac:dyDescent="0.25">
      <c r="A20" t="s">
        <v>579</v>
      </c>
      <c r="B20" t="s">
        <v>478</v>
      </c>
      <c r="C20">
        <v>6</v>
      </c>
      <c r="D20" s="33">
        <v>44165</v>
      </c>
      <c r="E20" t="s">
        <v>362</v>
      </c>
      <c r="F20" t="s">
        <v>299</v>
      </c>
      <c r="G20" t="s">
        <v>588</v>
      </c>
      <c r="H20" t="s">
        <v>358</v>
      </c>
      <c r="J20" t="s">
        <v>363</v>
      </c>
      <c r="K20">
        <v>220</v>
      </c>
      <c r="L20" t="s">
        <v>589</v>
      </c>
      <c r="M20" t="s">
        <v>658</v>
      </c>
      <c r="N20" t="s">
        <v>579</v>
      </c>
      <c r="O20" t="s">
        <v>532</v>
      </c>
      <c r="P20" t="s">
        <v>475</v>
      </c>
      <c r="Q20">
        <v>2</v>
      </c>
      <c r="R20" t="s">
        <v>303</v>
      </c>
      <c r="S20" t="s">
        <v>610</v>
      </c>
      <c r="T20" t="s">
        <v>572</v>
      </c>
      <c r="U20">
        <v>0.1</v>
      </c>
      <c r="X20" t="s">
        <v>222</v>
      </c>
      <c r="Y20" t="s">
        <v>630</v>
      </c>
      <c r="Z20" t="s">
        <v>631</v>
      </c>
      <c r="AA20" t="s">
        <v>369</v>
      </c>
      <c r="AC20" t="s">
        <v>532</v>
      </c>
      <c r="AD20" t="s">
        <v>6</v>
      </c>
      <c r="AF20" t="s">
        <v>6</v>
      </c>
      <c r="AH20" t="s">
        <v>226</v>
      </c>
      <c r="AJ20" t="s">
        <v>659</v>
      </c>
      <c r="AK20" t="s">
        <v>659</v>
      </c>
      <c r="AL20" t="s">
        <v>659</v>
      </c>
      <c r="AM20" t="s">
        <v>659</v>
      </c>
      <c r="AN20" t="s">
        <v>659</v>
      </c>
      <c r="AO20" t="s">
        <v>659</v>
      </c>
      <c r="AP20" t="s">
        <v>659</v>
      </c>
      <c r="AQ20" t="s">
        <v>659</v>
      </c>
      <c r="AS20" t="s">
        <v>659</v>
      </c>
      <c r="AT20" t="s">
        <v>659</v>
      </c>
      <c r="AU20" t="s">
        <v>285</v>
      </c>
      <c r="AV20" t="s">
        <v>285</v>
      </c>
      <c r="AX20" t="s">
        <v>764</v>
      </c>
      <c r="AY20" t="s">
        <v>755</v>
      </c>
      <c r="AZ20" t="s">
        <v>241</v>
      </c>
      <c r="BA20" t="s">
        <v>258</v>
      </c>
      <c r="BB20" t="s">
        <v>731</v>
      </c>
      <c r="BC20" t="s">
        <v>729</v>
      </c>
      <c r="BD20" t="s">
        <v>7</v>
      </c>
      <c r="BE20" t="s">
        <v>659</v>
      </c>
      <c r="BG20" t="s">
        <v>7</v>
      </c>
    </row>
    <row r="21" spans="1:59" x14ac:dyDescent="0.25">
      <c r="A21" t="s">
        <v>579</v>
      </c>
      <c r="B21" t="s">
        <v>478</v>
      </c>
      <c r="C21">
        <v>6</v>
      </c>
      <c r="D21" s="33">
        <v>44165</v>
      </c>
      <c r="E21" t="s">
        <v>362</v>
      </c>
      <c r="F21" t="s">
        <v>299</v>
      </c>
      <c r="G21" t="s">
        <v>588</v>
      </c>
      <c r="H21" t="s">
        <v>358</v>
      </c>
      <c r="J21" t="s">
        <v>363</v>
      </c>
      <c r="K21">
        <v>220</v>
      </c>
      <c r="L21" t="s">
        <v>589</v>
      </c>
      <c r="M21" t="s">
        <v>660</v>
      </c>
      <c r="N21" t="s">
        <v>579</v>
      </c>
      <c r="O21" t="s">
        <v>534</v>
      </c>
      <c r="P21" t="s">
        <v>475</v>
      </c>
      <c r="Q21">
        <v>3</v>
      </c>
      <c r="R21" t="s">
        <v>303</v>
      </c>
      <c r="S21" t="s">
        <v>611</v>
      </c>
      <c r="T21" t="s">
        <v>552</v>
      </c>
      <c r="U21">
        <v>2</v>
      </c>
      <c r="X21" t="s">
        <v>222</v>
      </c>
      <c r="AA21" t="s">
        <v>366</v>
      </c>
      <c r="AC21" t="s">
        <v>534</v>
      </c>
      <c r="AD21" t="s">
        <v>412</v>
      </c>
      <c r="AF21" t="s">
        <v>6</v>
      </c>
      <c r="AJ21" t="s">
        <v>661</v>
      </c>
      <c r="AK21" t="s">
        <v>661</v>
      </c>
      <c r="AL21" t="s">
        <v>661</v>
      </c>
      <c r="AM21" t="s">
        <v>661</v>
      </c>
      <c r="AN21" t="s">
        <v>661</v>
      </c>
      <c r="AO21" t="s">
        <v>661</v>
      </c>
      <c r="AP21" t="s">
        <v>661</v>
      </c>
      <c r="AQ21" t="s">
        <v>661</v>
      </c>
      <c r="AS21" t="s">
        <v>661</v>
      </c>
      <c r="AT21" t="s">
        <v>661</v>
      </c>
      <c r="AU21" t="s">
        <v>279</v>
      </c>
      <c r="AV21" t="s">
        <v>279</v>
      </c>
      <c r="AW21" t="s">
        <v>7</v>
      </c>
      <c r="AX21" t="s">
        <v>765</v>
      </c>
      <c r="AY21" t="s">
        <v>756</v>
      </c>
      <c r="AZ21" t="s">
        <v>7</v>
      </c>
      <c r="BA21" t="s">
        <v>271</v>
      </c>
      <c r="BB21" t="s">
        <v>730</v>
      </c>
      <c r="BC21" t="s">
        <v>730</v>
      </c>
      <c r="BE21" t="s">
        <v>661</v>
      </c>
    </row>
    <row r="22" spans="1:59" x14ac:dyDescent="0.25">
      <c r="A22" t="s">
        <v>580</v>
      </c>
      <c r="B22" t="s">
        <v>478</v>
      </c>
      <c r="C22">
        <v>7</v>
      </c>
      <c r="D22" s="33">
        <v>44165</v>
      </c>
      <c r="E22" t="s">
        <v>364</v>
      </c>
      <c r="F22" t="s">
        <v>299</v>
      </c>
      <c r="H22" t="s">
        <v>358</v>
      </c>
      <c r="J22" t="s">
        <v>363</v>
      </c>
      <c r="K22">
        <v>220</v>
      </c>
      <c r="L22" t="s">
        <v>450</v>
      </c>
      <c r="M22" t="s">
        <v>662</v>
      </c>
      <c r="N22" t="s">
        <v>580</v>
      </c>
      <c r="O22" t="s">
        <v>594</v>
      </c>
      <c r="P22" t="s">
        <v>475</v>
      </c>
      <c r="Q22">
        <v>1</v>
      </c>
      <c r="R22" t="s">
        <v>303</v>
      </c>
      <c r="S22" t="s">
        <v>615</v>
      </c>
      <c r="T22" t="s">
        <v>574</v>
      </c>
      <c r="U22">
        <v>1.5</v>
      </c>
      <c r="V22">
        <v>0</v>
      </c>
      <c r="W22">
        <v>1.5</v>
      </c>
      <c r="X22" t="s">
        <v>222</v>
      </c>
      <c r="Z22" t="s">
        <v>178</v>
      </c>
      <c r="AA22" t="s">
        <v>367</v>
      </c>
      <c r="AC22" t="s">
        <v>594</v>
      </c>
      <c r="AD22" t="s">
        <v>6</v>
      </c>
      <c r="AE22" t="s">
        <v>178</v>
      </c>
      <c r="AF22" t="s">
        <v>6</v>
      </c>
      <c r="AH22" t="s">
        <v>226</v>
      </c>
      <c r="AJ22" t="s">
        <v>663</v>
      </c>
      <c r="AK22" t="s">
        <v>663</v>
      </c>
      <c r="AL22" t="s">
        <v>663</v>
      </c>
      <c r="AM22" t="s">
        <v>663</v>
      </c>
      <c r="AN22" t="s">
        <v>663</v>
      </c>
      <c r="AO22" t="s">
        <v>663</v>
      </c>
      <c r="AP22" t="s">
        <v>663</v>
      </c>
      <c r="AQ22" t="s">
        <v>663</v>
      </c>
      <c r="AR22" t="s">
        <v>408</v>
      </c>
      <c r="AS22" t="s">
        <v>663</v>
      </c>
      <c r="AT22" t="s">
        <v>663</v>
      </c>
      <c r="AU22" t="s">
        <v>257</v>
      </c>
      <c r="AV22" t="s">
        <v>257</v>
      </c>
      <c r="AW22" t="s">
        <v>241</v>
      </c>
      <c r="AX22" t="s">
        <v>767</v>
      </c>
      <c r="AY22" t="s">
        <v>758</v>
      </c>
      <c r="AZ22" t="s">
        <v>7</v>
      </c>
      <c r="BA22" t="s">
        <v>224</v>
      </c>
      <c r="BB22" t="s">
        <v>773</v>
      </c>
      <c r="BC22" t="s">
        <v>729</v>
      </c>
      <c r="BD22" t="s">
        <v>241</v>
      </c>
      <c r="BE22" t="s">
        <v>663</v>
      </c>
      <c r="BG22" t="s">
        <v>241</v>
      </c>
    </row>
    <row r="23" spans="1:59" x14ac:dyDescent="0.25">
      <c r="A23" t="s">
        <v>581</v>
      </c>
      <c r="B23" t="s">
        <v>478</v>
      </c>
      <c r="C23">
        <v>8</v>
      </c>
      <c r="D23" s="33">
        <v>44165</v>
      </c>
      <c r="E23" t="s">
        <v>362</v>
      </c>
      <c r="F23" t="s">
        <v>361</v>
      </c>
      <c r="G23" t="s">
        <v>588</v>
      </c>
      <c r="H23" t="s">
        <v>358</v>
      </c>
      <c r="J23" t="s">
        <v>363</v>
      </c>
      <c r="K23">
        <v>218</v>
      </c>
      <c r="L23" t="s">
        <v>590</v>
      </c>
      <c r="M23" t="s">
        <v>664</v>
      </c>
      <c r="N23" t="s">
        <v>581</v>
      </c>
      <c r="O23" t="s">
        <v>595</v>
      </c>
      <c r="P23" t="s">
        <v>475</v>
      </c>
      <c r="Q23">
        <v>2</v>
      </c>
      <c r="R23" t="s">
        <v>303</v>
      </c>
      <c r="S23" t="s">
        <v>610</v>
      </c>
      <c r="T23" t="s">
        <v>617</v>
      </c>
      <c r="U23">
        <v>0.5</v>
      </c>
      <c r="X23" t="s">
        <v>222</v>
      </c>
      <c r="Z23" t="s">
        <v>633</v>
      </c>
      <c r="AA23" t="s">
        <v>369</v>
      </c>
      <c r="AC23" t="s">
        <v>595</v>
      </c>
      <c r="AD23" t="s">
        <v>239</v>
      </c>
      <c r="AF23" t="s">
        <v>6</v>
      </c>
      <c r="AG23" t="s">
        <v>226</v>
      </c>
      <c r="AH23" t="s">
        <v>244</v>
      </c>
      <c r="AJ23" t="s">
        <v>665</v>
      </c>
      <c r="AK23" t="s">
        <v>665</v>
      </c>
      <c r="AL23" t="s">
        <v>665</v>
      </c>
      <c r="AM23" t="s">
        <v>665</v>
      </c>
      <c r="AN23" t="s">
        <v>665</v>
      </c>
      <c r="AO23" t="s">
        <v>665</v>
      </c>
      <c r="AP23" t="s">
        <v>665</v>
      </c>
      <c r="AQ23" t="s">
        <v>665</v>
      </c>
      <c r="AR23" t="s">
        <v>409</v>
      </c>
      <c r="AS23" t="s">
        <v>665</v>
      </c>
      <c r="AT23" t="s">
        <v>665</v>
      </c>
      <c r="AU23" t="s">
        <v>240</v>
      </c>
      <c r="AV23" t="s">
        <v>240</v>
      </c>
      <c r="AX23" t="s">
        <v>768</v>
      </c>
      <c r="AY23" t="s">
        <v>759</v>
      </c>
      <c r="AZ23" t="s">
        <v>241</v>
      </c>
      <c r="BA23" t="s">
        <v>242</v>
      </c>
      <c r="BC23" t="s">
        <v>730</v>
      </c>
      <c r="BD23" t="s">
        <v>7</v>
      </c>
      <c r="BE23" t="s">
        <v>665</v>
      </c>
    </row>
    <row r="24" spans="1:59" x14ac:dyDescent="0.25">
      <c r="A24" t="s">
        <v>581</v>
      </c>
      <c r="B24" t="s">
        <v>478</v>
      </c>
      <c r="C24">
        <v>8</v>
      </c>
      <c r="D24" s="33">
        <v>44165</v>
      </c>
      <c r="E24" t="s">
        <v>362</v>
      </c>
      <c r="F24" t="s">
        <v>361</v>
      </c>
      <c r="G24" t="s">
        <v>588</v>
      </c>
      <c r="H24" t="s">
        <v>358</v>
      </c>
      <c r="J24" t="s">
        <v>363</v>
      </c>
      <c r="K24">
        <v>218</v>
      </c>
      <c r="L24" t="s">
        <v>590</v>
      </c>
      <c r="M24" t="s">
        <v>666</v>
      </c>
      <c r="N24" t="s">
        <v>581</v>
      </c>
      <c r="P24" t="s">
        <v>475</v>
      </c>
      <c r="Q24">
        <v>1</v>
      </c>
      <c r="R24" t="s">
        <v>303</v>
      </c>
      <c r="S24" t="s">
        <v>608</v>
      </c>
      <c r="T24" t="s">
        <v>616</v>
      </c>
      <c r="U24">
        <v>0.5</v>
      </c>
      <c r="V24">
        <v>0</v>
      </c>
      <c r="W24">
        <v>0.5</v>
      </c>
      <c r="X24" t="s">
        <v>222</v>
      </c>
      <c r="AA24" t="s">
        <v>369</v>
      </c>
    </row>
    <row r="25" spans="1:59" x14ac:dyDescent="0.25">
      <c r="A25" t="s">
        <v>582</v>
      </c>
      <c r="B25" t="s">
        <v>478</v>
      </c>
      <c r="C25">
        <v>9</v>
      </c>
      <c r="D25" s="33">
        <v>44165</v>
      </c>
      <c r="E25" t="s">
        <v>365</v>
      </c>
      <c r="F25" t="s">
        <v>299</v>
      </c>
      <c r="H25" t="s">
        <v>358</v>
      </c>
      <c r="J25" t="s">
        <v>363</v>
      </c>
      <c r="K25" t="s">
        <v>591</v>
      </c>
      <c r="L25" t="s">
        <v>590</v>
      </c>
      <c r="M25" t="s">
        <v>667</v>
      </c>
      <c r="N25" t="s">
        <v>582</v>
      </c>
      <c r="P25" t="s">
        <v>475</v>
      </c>
      <c r="Q25">
        <v>3</v>
      </c>
      <c r="R25" t="s">
        <v>303</v>
      </c>
      <c r="S25" t="s">
        <v>621</v>
      </c>
      <c r="T25" t="s">
        <v>573</v>
      </c>
      <c r="X25" t="s">
        <v>193</v>
      </c>
    </row>
    <row r="26" spans="1:59" x14ac:dyDescent="0.25">
      <c r="A26" t="s">
        <v>582</v>
      </c>
      <c r="B26" t="s">
        <v>478</v>
      </c>
      <c r="C26">
        <v>9</v>
      </c>
      <c r="D26" s="33">
        <v>44165</v>
      </c>
      <c r="E26" t="s">
        <v>365</v>
      </c>
      <c r="F26" t="s">
        <v>299</v>
      </c>
      <c r="H26" t="s">
        <v>358</v>
      </c>
      <c r="J26" t="s">
        <v>363</v>
      </c>
      <c r="K26" t="s">
        <v>591</v>
      </c>
      <c r="L26" t="s">
        <v>590</v>
      </c>
      <c r="M26" t="s">
        <v>668</v>
      </c>
      <c r="N26" t="s">
        <v>582</v>
      </c>
      <c r="O26" t="s">
        <v>596</v>
      </c>
      <c r="P26" t="s">
        <v>475</v>
      </c>
      <c r="Q26">
        <v>2</v>
      </c>
      <c r="R26" t="s">
        <v>303</v>
      </c>
      <c r="S26" t="s">
        <v>619</v>
      </c>
      <c r="T26" t="s">
        <v>620</v>
      </c>
      <c r="U26">
        <v>1.8</v>
      </c>
      <c r="X26" t="s">
        <v>222</v>
      </c>
      <c r="Z26" t="s">
        <v>635</v>
      </c>
      <c r="AA26" t="s">
        <v>371</v>
      </c>
      <c r="AB26" t="s">
        <v>371</v>
      </c>
      <c r="AC26" t="s">
        <v>596</v>
      </c>
      <c r="AD26" t="s">
        <v>6</v>
      </c>
      <c r="AF26" t="s">
        <v>6</v>
      </c>
      <c r="AJ26" t="s">
        <v>669</v>
      </c>
      <c r="AK26" t="s">
        <v>669</v>
      </c>
      <c r="AL26" t="s">
        <v>669</v>
      </c>
      <c r="AM26" t="s">
        <v>669</v>
      </c>
      <c r="AN26" t="s">
        <v>669</v>
      </c>
      <c r="AO26" t="s">
        <v>669</v>
      </c>
      <c r="AP26" t="s">
        <v>669</v>
      </c>
      <c r="AQ26" t="s">
        <v>669</v>
      </c>
      <c r="AR26" t="s">
        <v>408</v>
      </c>
      <c r="AS26" t="s">
        <v>669</v>
      </c>
      <c r="AT26" t="s">
        <v>669</v>
      </c>
      <c r="AU26" t="s">
        <v>223</v>
      </c>
      <c r="AV26" t="s">
        <v>223</v>
      </c>
      <c r="AX26" t="s">
        <v>769</v>
      </c>
      <c r="AY26" t="s">
        <v>760</v>
      </c>
      <c r="AZ26" t="s">
        <v>7</v>
      </c>
      <c r="BC26" t="s">
        <v>225</v>
      </c>
      <c r="BE26" t="s">
        <v>669</v>
      </c>
    </row>
    <row r="27" spans="1:59" x14ac:dyDescent="0.25">
      <c r="A27" t="s">
        <v>582</v>
      </c>
      <c r="B27" t="s">
        <v>478</v>
      </c>
      <c r="C27">
        <v>9</v>
      </c>
      <c r="D27" s="33">
        <v>44165</v>
      </c>
      <c r="E27" t="s">
        <v>365</v>
      </c>
      <c r="F27" t="s">
        <v>299</v>
      </c>
      <c r="H27" t="s">
        <v>358</v>
      </c>
      <c r="J27" t="s">
        <v>363</v>
      </c>
      <c r="K27" t="s">
        <v>591</v>
      </c>
      <c r="L27" t="s">
        <v>590</v>
      </c>
      <c r="M27" t="s">
        <v>670</v>
      </c>
      <c r="N27" t="s">
        <v>582</v>
      </c>
      <c r="P27" t="s">
        <v>475</v>
      </c>
      <c r="Q27">
        <v>1</v>
      </c>
      <c r="R27" t="s">
        <v>303</v>
      </c>
      <c r="S27" t="s">
        <v>618</v>
      </c>
      <c r="T27" t="s">
        <v>353</v>
      </c>
      <c r="U27">
        <v>0.5</v>
      </c>
      <c r="V27">
        <v>0</v>
      </c>
      <c r="W27">
        <v>0.5</v>
      </c>
      <c r="X27" t="s">
        <v>222</v>
      </c>
      <c r="Y27" t="s">
        <v>634</v>
      </c>
      <c r="AA27" t="s">
        <v>370</v>
      </c>
      <c r="AB27" t="s">
        <v>371</v>
      </c>
    </row>
    <row r="28" spans="1:59" x14ac:dyDescent="0.25">
      <c r="A28" t="s">
        <v>583</v>
      </c>
      <c r="B28" t="s">
        <v>478</v>
      </c>
      <c r="C28">
        <v>10</v>
      </c>
      <c r="D28" s="33">
        <v>44165</v>
      </c>
      <c r="E28" t="s">
        <v>362</v>
      </c>
      <c r="F28" t="s">
        <v>299</v>
      </c>
      <c r="H28" t="s">
        <v>358</v>
      </c>
      <c r="J28" t="s">
        <v>363</v>
      </c>
      <c r="K28" t="s">
        <v>591</v>
      </c>
      <c r="L28" t="s">
        <v>592</v>
      </c>
      <c r="M28" t="s">
        <v>671</v>
      </c>
      <c r="N28" t="s">
        <v>583</v>
      </c>
      <c r="O28" t="s">
        <v>596</v>
      </c>
      <c r="P28" t="s">
        <v>475</v>
      </c>
      <c r="Q28">
        <v>4</v>
      </c>
      <c r="R28" t="s">
        <v>303</v>
      </c>
      <c r="S28" t="s">
        <v>624</v>
      </c>
      <c r="T28" t="s">
        <v>552</v>
      </c>
      <c r="U28">
        <v>0.2</v>
      </c>
      <c r="X28" t="s">
        <v>222</v>
      </c>
      <c r="Z28" t="s">
        <v>85</v>
      </c>
      <c r="AA28" t="s">
        <v>636</v>
      </c>
      <c r="AC28" t="s">
        <v>596</v>
      </c>
      <c r="AD28" t="s">
        <v>6</v>
      </c>
      <c r="AF28" t="s">
        <v>6</v>
      </c>
      <c r="AJ28" t="s">
        <v>669</v>
      </c>
      <c r="AK28" t="s">
        <v>669</v>
      </c>
      <c r="AL28" t="s">
        <v>669</v>
      </c>
      <c r="AM28" t="s">
        <v>669</v>
      </c>
      <c r="AN28" t="s">
        <v>669</v>
      </c>
      <c r="AO28" t="s">
        <v>669</v>
      </c>
      <c r="AP28" t="s">
        <v>669</v>
      </c>
      <c r="AQ28" t="s">
        <v>669</v>
      </c>
      <c r="AR28" t="s">
        <v>408</v>
      </c>
      <c r="AS28" t="s">
        <v>669</v>
      </c>
      <c r="AT28" t="s">
        <v>669</v>
      </c>
      <c r="AU28" t="s">
        <v>223</v>
      </c>
      <c r="AV28" t="s">
        <v>223</v>
      </c>
      <c r="AX28" t="s">
        <v>769</v>
      </c>
      <c r="AY28" t="s">
        <v>760</v>
      </c>
      <c r="AZ28" t="s">
        <v>7</v>
      </c>
      <c r="BC28" t="s">
        <v>225</v>
      </c>
      <c r="BE28" t="s">
        <v>669</v>
      </c>
    </row>
    <row r="29" spans="1:59" x14ac:dyDescent="0.25">
      <c r="A29" t="s">
        <v>583</v>
      </c>
      <c r="B29" t="s">
        <v>478</v>
      </c>
      <c r="C29">
        <v>10</v>
      </c>
      <c r="D29" s="33">
        <v>44165</v>
      </c>
      <c r="E29" t="s">
        <v>362</v>
      </c>
      <c r="F29" t="s">
        <v>299</v>
      </c>
      <c r="H29" t="s">
        <v>358</v>
      </c>
      <c r="J29" t="s">
        <v>363</v>
      </c>
      <c r="K29" t="s">
        <v>591</v>
      </c>
      <c r="L29" t="s">
        <v>592</v>
      </c>
      <c r="M29" t="s">
        <v>672</v>
      </c>
      <c r="N29" t="s">
        <v>583</v>
      </c>
      <c r="P29" t="s">
        <v>475</v>
      </c>
      <c r="Q29">
        <v>5</v>
      </c>
      <c r="R29" t="s">
        <v>303</v>
      </c>
      <c r="S29" t="s">
        <v>449</v>
      </c>
      <c r="T29" t="s">
        <v>572</v>
      </c>
    </row>
    <row r="30" spans="1:59" x14ac:dyDescent="0.25">
      <c r="A30" t="s">
        <v>583</v>
      </c>
      <c r="B30" t="s">
        <v>478</v>
      </c>
      <c r="C30">
        <v>10</v>
      </c>
      <c r="D30" s="33">
        <v>44165</v>
      </c>
      <c r="E30" t="s">
        <v>362</v>
      </c>
      <c r="F30" t="s">
        <v>299</v>
      </c>
      <c r="H30" t="s">
        <v>358</v>
      </c>
      <c r="J30" t="s">
        <v>363</v>
      </c>
      <c r="K30" t="s">
        <v>591</v>
      </c>
      <c r="L30" t="s">
        <v>592</v>
      </c>
      <c r="M30" t="s">
        <v>673</v>
      </c>
      <c r="N30" t="s">
        <v>583</v>
      </c>
      <c r="O30" t="s">
        <v>596</v>
      </c>
      <c r="P30" t="s">
        <v>475</v>
      </c>
      <c r="Q30">
        <v>3</v>
      </c>
      <c r="R30" t="s">
        <v>303</v>
      </c>
      <c r="S30" t="s">
        <v>623</v>
      </c>
      <c r="T30" t="s">
        <v>572</v>
      </c>
      <c r="U30">
        <v>8.5</v>
      </c>
      <c r="X30" t="s">
        <v>222</v>
      </c>
      <c r="AC30" t="s">
        <v>596</v>
      </c>
      <c r="AD30" t="s">
        <v>6</v>
      </c>
      <c r="AF30" t="s">
        <v>6</v>
      </c>
      <c r="AJ30" t="s">
        <v>669</v>
      </c>
      <c r="AK30" t="s">
        <v>669</v>
      </c>
      <c r="AL30" t="s">
        <v>669</v>
      </c>
      <c r="AM30" t="s">
        <v>669</v>
      </c>
      <c r="AN30" t="s">
        <v>669</v>
      </c>
      <c r="AO30" t="s">
        <v>669</v>
      </c>
      <c r="AP30" t="s">
        <v>669</v>
      </c>
      <c r="AQ30" t="s">
        <v>669</v>
      </c>
      <c r="AR30" t="s">
        <v>408</v>
      </c>
      <c r="AS30" t="s">
        <v>669</v>
      </c>
      <c r="AT30" t="s">
        <v>669</v>
      </c>
      <c r="AU30" t="s">
        <v>223</v>
      </c>
      <c r="AV30" t="s">
        <v>223</v>
      </c>
      <c r="AX30" t="s">
        <v>769</v>
      </c>
      <c r="AY30" t="s">
        <v>760</v>
      </c>
      <c r="AZ30" t="s">
        <v>7</v>
      </c>
      <c r="BC30" t="s">
        <v>225</v>
      </c>
      <c r="BE30" t="s">
        <v>669</v>
      </c>
    </row>
    <row r="31" spans="1:59" x14ac:dyDescent="0.25">
      <c r="A31" t="s">
        <v>583</v>
      </c>
      <c r="B31" t="s">
        <v>478</v>
      </c>
      <c r="C31">
        <v>10</v>
      </c>
      <c r="D31" s="33">
        <v>44165</v>
      </c>
      <c r="E31" t="s">
        <v>362</v>
      </c>
      <c r="F31" t="s">
        <v>299</v>
      </c>
      <c r="H31" t="s">
        <v>358</v>
      </c>
      <c r="J31" t="s">
        <v>363</v>
      </c>
      <c r="K31" t="s">
        <v>591</v>
      </c>
      <c r="L31" t="s">
        <v>592</v>
      </c>
      <c r="M31" t="s">
        <v>674</v>
      </c>
      <c r="N31" t="s">
        <v>583</v>
      </c>
      <c r="P31" t="s">
        <v>475</v>
      </c>
      <c r="Q31">
        <v>1</v>
      </c>
      <c r="R31" t="s">
        <v>303</v>
      </c>
      <c r="S31" t="s">
        <v>618</v>
      </c>
      <c r="T31" t="s">
        <v>622</v>
      </c>
      <c r="U31">
        <v>0.4</v>
      </c>
      <c r="V31">
        <v>0</v>
      </c>
      <c r="W31">
        <v>0.4</v>
      </c>
      <c r="X31" t="s">
        <v>222</v>
      </c>
      <c r="AA31" t="s">
        <v>370</v>
      </c>
      <c r="AB31" t="s">
        <v>371</v>
      </c>
    </row>
    <row r="32" spans="1:59" x14ac:dyDescent="0.25">
      <c r="A32" t="s">
        <v>583</v>
      </c>
      <c r="B32" t="s">
        <v>478</v>
      </c>
      <c r="C32">
        <v>10</v>
      </c>
      <c r="D32" s="33">
        <v>44165</v>
      </c>
      <c r="E32" t="s">
        <v>362</v>
      </c>
      <c r="F32" t="s">
        <v>299</v>
      </c>
      <c r="H32" t="s">
        <v>358</v>
      </c>
      <c r="J32" t="s">
        <v>363</v>
      </c>
      <c r="K32" t="s">
        <v>591</v>
      </c>
      <c r="L32" t="s">
        <v>592</v>
      </c>
      <c r="M32" t="s">
        <v>675</v>
      </c>
      <c r="N32" t="s">
        <v>583</v>
      </c>
      <c r="O32" t="s">
        <v>596</v>
      </c>
      <c r="P32" t="s">
        <v>475</v>
      </c>
      <c r="Q32">
        <v>2</v>
      </c>
      <c r="R32" t="s">
        <v>303</v>
      </c>
      <c r="S32" t="s">
        <v>610</v>
      </c>
      <c r="T32" t="s">
        <v>572</v>
      </c>
      <c r="U32">
        <v>0.2</v>
      </c>
      <c r="X32" t="s">
        <v>222</v>
      </c>
      <c r="Z32" t="s">
        <v>633</v>
      </c>
      <c r="AA32" t="s">
        <v>369</v>
      </c>
      <c r="AB32" t="s">
        <v>371</v>
      </c>
      <c r="AC32" t="s">
        <v>596</v>
      </c>
      <c r="AD32" t="s">
        <v>6</v>
      </c>
      <c r="AF32" t="s">
        <v>6</v>
      </c>
      <c r="AJ32" t="s">
        <v>669</v>
      </c>
      <c r="AK32" t="s">
        <v>669</v>
      </c>
      <c r="AL32" t="s">
        <v>669</v>
      </c>
      <c r="AM32" t="s">
        <v>669</v>
      </c>
      <c r="AN32" t="s">
        <v>669</v>
      </c>
      <c r="AO32" t="s">
        <v>669</v>
      </c>
      <c r="AP32" t="s">
        <v>669</v>
      </c>
      <c r="AQ32" t="s">
        <v>669</v>
      </c>
      <c r="AR32" t="s">
        <v>408</v>
      </c>
      <c r="AS32" t="s">
        <v>669</v>
      </c>
      <c r="AT32" t="s">
        <v>669</v>
      </c>
      <c r="AU32" t="s">
        <v>223</v>
      </c>
      <c r="AV32" t="s">
        <v>223</v>
      </c>
      <c r="AX32" t="s">
        <v>769</v>
      </c>
      <c r="AY32" t="s">
        <v>760</v>
      </c>
      <c r="AZ32" t="s">
        <v>7</v>
      </c>
      <c r="BC32" t="s">
        <v>225</v>
      </c>
      <c r="BE32" t="s">
        <v>669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67E5-DD5F-412F-8E0A-8351F397B6A9}">
  <sheetPr>
    <tabColor theme="1"/>
  </sheetPr>
  <dimension ref="A1:BF8"/>
  <sheetViews>
    <sheetView workbookViewId="0">
      <selection activeCell="E15" sqref="E15"/>
    </sheetView>
  </sheetViews>
  <sheetFormatPr baseColWidth="10" defaultColWidth="9.140625" defaultRowHeight="15" x14ac:dyDescent="0.25"/>
  <cols>
    <col min="1" max="1" width="11.5703125" bestFit="1" customWidth="1"/>
    <col min="2" max="2" width="14" bestFit="1" customWidth="1"/>
    <col min="3" max="3" width="18.5703125" bestFit="1" customWidth="1"/>
    <col min="4" max="4" width="16.5703125" style="33" bestFit="1" customWidth="1"/>
    <col min="5" max="5" width="17.5703125" bestFit="1" customWidth="1"/>
    <col min="6" max="6" width="17" bestFit="1" customWidth="1"/>
    <col min="7" max="7" width="27.5703125" bestFit="1" customWidth="1"/>
    <col min="8" max="8" width="23" bestFit="1" customWidth="1"/>
    <col min="9" max="9" width="51.7109375" bestFit="1" customWidth="1"/>
    <col min="10" max="10" width="12.85546875" bestFit="1" customWidth="1"/>
    <col min="11" max="11" width="19.42578125" bestFit="1" customWidth="1"/>
    <col min="12" max="12" width="23.85546875" bestFit="1" customWidth="1"/>
    <col min="13" max="13" width="15.28515625" bestFit="1" customWidth="1"/>
    <col min="14" max="14" width="19.85546875" bestFit="1" customWidth="1"/>
    <col min="15" max="15" width="22.5703125" style="12" bestFit="1" customWidth="1"/>
    <col min="16" max="16" width="14.42578125" bestFit="1" customWidth="1"/>
    <col min="17" max="17" width="21.5703125" bestFit="1" customWidth="1"/>
    <col min="18" max="18" width="21" bestFit="1" customWidth="1"/>
    <col min="19" max="19" width="20.42578125" bestFit="1" customWidth="1"/>
    <col min="20" max="20" width="18.42578125" bestFit="1" customWidth="1"/>
    <col min="21" max="21" width="21.7109375" bestFit="1" customWidth="1"/>
    <col min="22" max="22" width="16.5703125" bestFit="1" customWidth="1"/>
    <col min="23" max="23" width="18.5703125" bestFit="1" customWidth="1"/>
    <col min="24" max="24" width="23.85546875" bestFit="1" customWidth="1"/>
    <col min="25" max="25" width="15.5703125" bestFit="1" customWidth="1"/>
    <col min="26" max="26" width="20.85546875" bestFit="1" customWidth="1"/>
    <col min="27" max="27" width="16.42578125" bestFit="1" customWidth="1"/>
    <col min="28" max="28" width="27.5703125" bestFit="1" customWidth="1"/>
    <col min="29" max="29" width="31.42578125" bestFit="1" customWidth="1"/>
    <col min="30" max="30" width="43.5703125" bestFit="1" customWidth="1"/>
    <col min="31" max="31" width="33.140625" bestFit="1" customWidth="1"/>
    <col min="32" max="32" width="32.28515625" bestFit="1" customWidth="1"/>
    <col min="33" max="33" width="29.85546875" bestFit="1" customWidth="1"/>
    <col min="34" max="34" width="29.42578125" bestFit="1" customWidth="1"/>
    <col min="35" max="35" width="29.28515625" bestFit="1" customWidth="1"/>
    <col min="36" max="36" width="30.140625" bestFit="1" customWidth="1"/>
    <col min="37" max="37" width="29.42578125" bestFit="1" customWidth="1"/>
    <col min="38" max="38" width="34.140625" bestFit="1" customWidth="1"/>
    <col min="39" max="39" width="40.140625" bestFit="1" customWidth="1"/>
    <col min="40" max="41" width="39.42578125" bestFit="1" customWidth="1"/>
    <col min="42" max="42" width="32.42578125" bestFit="1" customWidth="1"/>
    <col min="43" max="43" width="48" bestFit="1" customWidth="1"/>
    <col min="44" max="44" width="31.140625" bestFit="1" customWidth="1"/>
    <col min="45" max="45" width="30.7109375" bestFit="1" customWidth="1"/>
    <col min="46" max="46" width="34.42578125" bestFit="1" customWidth="1"/>
    <col min="47" max="47" width="34.140625" bestFit="1" customWidth="1"/>
    <col min="48" max="48" width="55.42578125" bestFit="1" customWidth="1"/>
    <col min="49" max="49" width="36.7109375" bestFit="1" customWidth="1"/>
    <col min="50" max="50" width="41.28515625" bestFit="1" customWidth="1"/>
    <col min="51" max="51" width="52.7109375" bestFit="1" customWidth="1"/>
    <col min="52" max="52" width="36.28515625" bestFit="1" customWidth="1"/>
    <col min="53" max="53" width="30.5703125" bestFit="1" customWidth="1"/>
    <col min="54" max="54" width="46" bestFit="1" customWidth="1"/>
    <col min="55" max="55" width="30.5703125" bestFit="1" customWidth="1"/>
    <col min="56" max="56" width="31" bestFit="1" customWidth="1"/>
    <col min="57" max="57" width="43.140625" bestFit="1" customWidth="1"/>
    <col min="58" max="58" width="28.7109375" bestFit="1" customWidth="1"/>
    <col min="59" max="59" width="28.7109375" customWidth="1"/>
  </cols>
  <sheetData>
    <row r="1" spans="1:58" x14ac:dyDescent="0.25">
      <c r="A1" t="s">
        <v>15</v>
      </c>
      <c r="B1" t="s">
        <v>476</v>
      </c>
      <c r="C1" t="s">
        <v>16</v>
      </c>
      <c r="D1" s="33" t="s">
        <v>17</v>
      </c>
      <c r="E1" t="s">
        <v>18</v>
      </c>
      <c r="F1" t="s">
        <v>19</v>
      </c>
      <c r="G1" t="s">
        <v>54</v>
      </c>
      <c r="H1" t="s">
        <v>55</v>
      </c>
      <c r="I1" t="s">
        <v>56</v>
      </c>
      <c r="J1" t="s">
        <v>22</v>
      </c>
      <c r="K1" t="s">
        <v>23</v>
      </c>
      <c r="L1" t="s">
        <v>24</v>
      </c>
      <c r="M1" t="s">
        <v>477</v>
      </c>
      <c r="N1" t="s">
        <v>124</v>
      </c>
      <c r="O1" t="s">
        <v>125</v>
      </c>
      <c r="P1" t="s">
        <v>126</v>
      </c>
      <c r="Q1" s="12" t="s">
        <v>127</v>
      </c>
      <c r="R1" t="s">
        <v>142</v>
      </c>
      <c r="S1" t="s">
        <v>150</v>
      </c>
      <c r="T1" t="s">
        <v>151</v>
      </c>
      <c r="U1" t="s">
        <v>141</v>
      </c>
      <c r="V1" t="s">
        <v>134</v>
      </c>
      <c r="W1" t="s">
        <v>143</v>
      </c>
      <c r="X1" t="s">
        <v>128</v>
      </c>
      <c r="Y1" t="s">
        <v>132</v>
      </c>
      <c r="Z1" t="s">
        <v>135</v>
      </c>
      <c r="AA1" t="s">
        <v>140</v>
      </c>
      <c r="AB1" t="s">
        <v>28</v>
      </c>
      <c r="AC1" t="s">
        <v>155</v>
      </c>
      <c r="AD1" t="s">
        <v>156</v>
      </c>
      <c r="AE1" t="s">
        <v>772</v>
      </c>
      <c r="AF1" t="s">
        <v>164</v>
      </c>
      <c r="AG1" t="s">
        <v>183</v>
      </c>
      <c r="AH1" t="s">
        <v>184</v>
      </c>
      <c r="AI1" t="s">
        <v>165</v>
      </c>
      <c r="AJ1" t="s">
        <v>166</v>
      </c>
      <c r="AK1" t="s">
        <v>180</v>
      </c>
      <c r="AL1" t="s">
        <v>339</v>
      </c>
      <c r="AM1" t="s">
        <v>181</v>
      </c>
      <c r="AN1" t="s">
        <v>444</v>
      </c>
      <c r="AO1" t="s">
        <v>445</v>
      </c>
      <c r="AP1" t="s">
        <v>182</v>
      </c>
      <c r="AQ1" t="s">
        <v>185</v>
      </c>
      <c r="AR1" t="s">
        <v>440</v>
      </c>
      <c r="AS1" t="s">
        <v>441</v>
      </c>
      <c r="AT1" t="s">
        <v>158</v>
      </c>
      <c r="AU1" t="s">
        <v>159</v>
      </c>
      <c r="AV1" t="s">
        <v>338</v>
      </c>
      <c r="AW1" t="s">
        <v>747</v>
      </c>
      <c r="AX1" t="s">
        <v>748</v>
      </c>
      <c r="AY1" t="s">
        <v>749</v>
      </c>
      <c r="AZ1" t="s">
        <v>160</v>
      </c>
      <c r="BA1" t="s">
        <v>161</v>
      </c>
      <c r="BB1" t="s">
        <v>162</v>
      </c>
      <c r="BC1" t="s">
        <v>163</v>
      </c>
      <c r="BD1" t="s">
        <v>356</v>
      </c>
      <c r="BE1" t="s">
        <v>470</v>
      </c>
      <c r="BF1" t="s">
        <v>157</v>
      </c>
    </row>
    <row r="2" spans="1:58" x14ac:dyDescent="0.25">
      <c r="A2" t="s">
        <v>1</v>
      </c>
      <c r="B2" t="s">
        <v>474</v>
      </c>
      <c r="C2">
        <v>1</v>
      </c>
      <c r="D2" s="33">
        <v>44425</v>
      </c>
      <c r="E2" t="s">
        <v>350</v>
      </c>
      <c r="F2" t="s">
        <v>340</v>
      </c>
      <c r="G2" t="s">
        <v>351</v>
      </c>
      <c r="H2" t="s">
        <v>343</v>
      </c>
      <c r="I2" t="s">
        <v>344</v>
      </c>
      <c r="J2" t="s">
        <v>676</v>
      </c>
      <c r="K2" t="s">
        <v>1</v>
      </c>
      <c r="L2" t="s">
        <v>524</v>
      </c>
      <c r="M2" t="s">
        <v>480</v>
      </c>
      <c r="N2">
        <v>3</v>
      </c>
      <c r="O2" t="s">
        <v>317</v>
      </c>
      <c r="Q2" s="12" t="s">
        <v>566</v>
      </c>
      <c r="R2" t="s">
        <v>456</v>
      </c>
      <c r="S2">
        <v>500</v>
      </c>
      <c r="T2">
        <v>9</v>
      </c>
      <c r="U2" t="s">
        <v>234</v>
      </c>
      <c r="V2" t="s">
        <v>572</v>
      </c>
      <c r="W2" t="s">
        <v>308</v>
      </c>
      <c r="Z2" t="s">
        <v>254</v>
      </c>
      <c r="AB2" t="s">
        <v>524</v>
      </c>
      <c r="AC2" t="s">
        <v>412</v>
      </c>
      <c r="AE2" t="s">
        <v>437</v>
      </c>
      <c r="AF2" t="s">
        <v>226</v>
      </c>
      <c r="AI2" t="s">
        <v>639</v>
      </c>
      <c r="AJ2" t="s">
        <v>639</v>
      </c>
      <c r="AK2" t="s">
        <v>639</v>
      </c>
      <c r="AL2" t="s">
        <v>639</v>
      </c>
      <c r="AM2" t="s">
        <v>639</v>
      </c>
      <c r="AN2" t="s">
        <v>639</v>
      </c>
      <c r="AO2" t="s">
        <v>639</v>
      </c>
      <c r="AP2" t="s">
        <v>639</v>
      </c>
      <c r="AQ2" t="s">
        <v>409</v>
      </c>
      <c r="AR2" t="s">
        <v>639</v>
      </c>
      <c r="AS2" t="s">
        <v>639</v>
      </c>
      <c r="AT2" t="s">
        <v>240</v>
      </c>
      <c r="AU2" t="s">
        <v>240</v>
      </c>
      <c r="AV2" t="s">
        <v>7</v>
      </c>
      <c r="AW2" t="s">
        <v>751</v>
      </c>
      <c r="AX2" t="s">
        <v>746</v>
      </c>
      <c r="AY2" t="s">
        <v>241</v>
      </c>
      <c r="AZ2" t="s">
        <v>258</v>
      </c>
      <c r="BA2" t="s">
        <v>729</v>
      </c>
      <c r="BB2" t="s">
        <v>225</v>
      </c>
      <c r="BC2" t="s">
        <v>241</v>
      </c>
      <c r="BD2" t="s">
        <v>639</v>
      </c>
    </row>
    <row r="3" spans="1:58" x14ac:dyDescent="0.25">
      <c r="A3" t="s">
        <v>1</v>
      </c>
      <c r="B3" t="s">
        <v>474</v>
      </c>
      <c r="C3">
        <v>1</v>
      </c>
      <c r="D3" s="33">
        <v>44425</v>
      </c>
      <c r="E3" t="s">
        <v>350</v>
      </c>
      <c r="F3" t="s">
        <v>340</v>
      </c>
      <c r="G3" t="s">
        <v>351</v>
      </c>
      <c r="H3" t="s">
        <v>343</v>
      </c>
      <c r="I3" t="s">
        <v>344</v>
      </c>
      <c r="J3" t="s">
        <v>466</v>
      </c>
      <c r="K3" t="s">
        <v>1</v>
      </c>
      <c r="L3" t="s">
        <v>526</v>
      </c>
      <c r="M3" t="s">
        <v>480</v>
      </c>
      <c r="N3">
        <v>2</v>
      </c>
      <c r="O3" t="s">
        <v>317</v>
      </c>
      <c r="P3" t="s">
        <v>449</v>
      </c>
      <c r="Q3" s="12" t="s">
        <v>453</v>
      </c>
      <c r="R3" t="s">
        <v>449</v>
      </c>
      <c r="S3">
        <v>250</v>
      </c>
      <c r="T3">
        <v>7</v>
      </c>
      <c r="U3" t="s">
        <v>217</v>
      </c>
      <c r="V3" t="s">
        <v>448</v>
      </c>
      <c r="W3" t="s">
        <v>454</v>
      </c>
      <c r="X3" t="s">
        <v>455</v>
      </c>
      <c r="Y3" t="s">
        <v>222</v>
      </c>
      <c r="Z3" t="s">
        <v>267</v>
      </c>
      <c r="AB3" t="s">
        <v>526</v>
      </c>
      <c r="AC3" t="s">
        <v>437</v>
      </c>
      <c r="AE3" t="s">
        <v>239</v>
      </c>
      <c r="AF3" t="s">
        <v>226</v>
      </c>
      <c r="AG3" t="s">
        <v>226</v>
      </c>
      <c r="AI3" t="s">
        <v>641</v>
      </c>
      <c r="AJ3" t="s">
        <v>641</v>
      </c>
      <c r="AK3" t="s">
        <v>641</v>
      </c>
      <c r="AL3" t="s">
        <v>641</v>
      </c>
      <c r="AM3" t="s">
        <v>641</v>
      </c>
      <c r="AN3" t="s">
        <v>641</v>
      </c>
      <c r="AO3" t="s">
        <v>641</v>
      </c>
      <c r="AP3" t="s">
        <v>641</v>
      </c>
      <c r="AQ3" t="s">
        <v>408</v>
      </c>
      <c r="AR3" t="s">
        <v>641</v>
      </c>
      <c r="AS3" t="s">
        <v>641</v>
      </c>
      <c r="AT3" t="s">
        <v>257</v>
      </c>
      <c r="AU3" t="s">
        <v>257</v>
      </c>
      <c r="AV3" t="s">
        <v>241</v>
      </c>
      <c r="AW3" t="s">
        <v>761</v>
      </c>
      <c r="AX3" t="s">
        <v>752</v>
      </c>
      <c r="AY3" t="s">
        <v>7</v>
      </c>
      <c r="AZ3" t="s">
        <v>242</v>
      </c>
      <c r="BA3" t="s">
        <v>730</v>
      </c>
      <c r="BC3" t="s">
        <v>7</v>
      </c>
      <c r="BD3" t="s">
        <v>641</v>
      </c>
    </row>
    <row r="4" spans="1:58" x14ac:dyDescent="0.25">
      <c r="A4" t="s">
        <v>1</v>
      </c>
      <c r="B4" t="s">
        <v>474</v>
      </c>
      <c r="C4">
        <v>1</v>
      </c>
      <c r="D4" s="33">
        <v>44425</v>
      </c>
      <c r="E4" t="s">
        <v>350</v>
      </c>
      <c r="F4" t="s">
        <v>340</v>
      </c>
      <c r="G4" t="s">
        <v>351</v>
      </c>
      <c r="H4" t="s">
        <v>343</v>
      </c>
      <c r="I4" t="s">
        <v>344</v>
      </c>
      <c r="J4" t="s">
        <v>446</v>
      </c>
      <c r="K4" t="s">
        <v>1</v>
      </c>
      <c r="L4" t="s">
        <v>3</v>
      </c>
      <c r="M4" t="s">
        <v>480</v>
      </c>
      <c r="N4">
        <v>1</v>
      </c>
      <c r="O4" t="s">
        <v>317</v>
      </c>
      <c r="P4" t="s">
        <v>349</v>
      </c>
      <c r="Q4" s="12" t="s">
        <v>348</v>
      </c>
      <c r="R4" t="s">
        <v>352</v>
      </c>
      <c r="S4">
        <v>250</v>
      </c>
      <c r="T4">
        <v>7</v>
      </c>
      <c r="U4" t="s">
        <v>234</v>
      </c>
      <c r="V4" t="s">
        <v>353</v>
      </c>
      <c r="W4" t="s">
        <v>308</v>
      </c>
      <c r="Z4" t="s">
        <v>236</v>
      </c>
      <c r="AA4" t="s">
        <v>354</v>
      </c>
      <c r="AB4" t="s">
        <v>3</v>
      </c>
      <c r="AC4" t="s">
        <v>239</v>
      </c>
      <c r="AE4" t="s">
        <v>239</v>
      </c>
      <c r="AF4" t="s">
        <v>244</v>
      </c>
      <c r="AI4" t="s">
        <v>467</v>
      </c>
      <c r="AJ4" t="s">
        <v>467</v>
      </c>
      <c r="AK4" t="s">
        <v>467</v>
      </c>
      <c r="AL4" t="s">
        <v>467</v>
      </c>
      <c r="AM4" t="s">
        <v>467</v>
      </c>
      <c r="AN4" t="s">
        <v>467</v>
      </c>
      <c r="AO4" t="s">
        <v>467</v>
      </c>
      <c r="AP4" t="s">
        <v>467</v>
      </c>
      <c r="AQ4" t="s">
        <v>408</v>
      </c>
      <c r="AR4" t="s">
        <v>467</v>
      </c>
      <c r="AS4" t="s">
        <v>467</v>
      </c>
      <c r="AT4" t="s">
        <v>223</v>
      </c>
      <c r="AU4" t="s">
        <v>223</v>
      </c>
      <c r="AV4" t="s">
        <v>241</v>
      </c>
      <c r="AW4" t="s">
        <v>774</v>
      </c>
      <c r="AX4" t="s">
        <v>745</v>
      </c>
      <c r="AY4" t="s">
        <v>7</v>
      </c>
      <c r="AZ4" t="s">
        <v>271</v>
      </c>
      <c r="BA4" t="s">
        <v>773</v>
      </c>
      <c r="BB4" t="s">
        <v>729</v>
      </c>
      <c r="BC4" t="s">
        <v>7</v>
      </c>
      <c r="BD4" t="s">
        <v>467</v>
      </c>
      <c r="BF4" t="s">
        <v>241</v>
      </c>
    </row>
    <row r="5" spans="1:58" x14ac:dyDescent="0.25">
      <c r="A5" t="s">
        <v>563</v>
      </c>
      <c r="B5" t="s">
        <v>474</v>
      </c>
      <c r="C5">
        <v>2</v>
      </c>
      <c r="D5" s="33">
        <v>44426</v>
      </c>
      <c r="E5" t="s">
        <v>350</v>
      </c>
      <c r="F5" t="s">
        <v>340</v>
      </c>
      <c r="G5" t="s">
        <v>351</v>
      </c>
      <c r="H5" t="s">
        <v>452</v>
      </c>
      <c r="I5" t="s">
        <v>344</v>
      </c>
      <c r="J5" t="s">
        <v>677</v>
      </c>
      <c r="K5" t="s">
        <v>563</v>
      </c>
      <c r="L5" t="s">
        <v>529</v>
      </c>
      <c r="M5" t="s">
        <v>480</v>
      </c>
      <c r="N5">
        <v>1</v>
      </c>
      <c r="O5" t="s">
        <v>317</v>
      </c>
      <c r="Q5" s="12" t="s">
        <v>567</v>
      </c>
      <c r="R5" t="s">
        <v>307</v>
      </c>
      <c r="S5">
        <v>600</v>
      </c>
      <c r="T5">
        <v>10</v>
      </c>
      <c r="U5" t="s">
        <v>265</v>
      </c>
      <c r="V5" t="s">
        <v>551</v>
      </c>
      <c r="W5" t="s">
        <v>454</v>
      </c>
      <c r="Z5" t="s">
        <v>219</v>
      </c>
      <c r="AB5" t="s">
        <v>529</v>
      </c>
      <c r="AC5" t="s">
        <v>6</v>
      </c>
      <c r="AD5" t="s">
        <v>178</v>
      </c>
      <c r="AE5" t="s">
        <v>6</v>
      </c>
      <c r="AF5" t="s">
        <v>244</v>
      </c>
      <c r="AI5" t="s">
        <v>647</v>
      </c>
      <c r="AJ5" t="s">
        <v>647</v>
      </c>
      <c r="AK5" t="s">
        <v>647</v>
      </c>
      <c r="AL5" t="s">
        <v>647</v>
      </c>
      <c r="AM5" t="s">
        <v>647</v>
      </c>
      <c r="AN5" t="s">
        <v>647</v>
      </c>
      <c r="AO5" t="s">
        <v>647</v>
      </c>
      <c r="AP5" t="s">
        <v>647</v>
      </c>
      <c r="AQ5" t="s">
        <v>409</v>
      </c>
      <c r="AR5" t="s">
        <v>647</v>
      </c>
      <c r="AS5" t="s">
        <v>647</v>
      </c>
      <c r="AT5" t="s">
        <v>270</v>
      </c>
      <c r="AU5" t="s">
        <v>270</v>
      </c>
      <c r="AW5" t="s">
        <v>762</v>
      </c>
      <c r="AX5" t="s">
        <v>753</v>
      </c>
      <c r="AY5" t="s">
        <v>241</v>
      </c>
      <c r="AZ5" t="s">
        <v>224</v>
      </c>
      <c r="BA5" t="s">
        <v>731</v>
      </c>
      <c r="BB5" t="s">
        <v>730</v>
      </c>
      <c r="BC5" t="s">
        <v>241</v>
      </c>
      <c r="BD5" t="s">
        <v>647</v>
      </c>
    </row>
    <row r="6" spans="1:58" x14ac:dyDescent="0.25">
      <c r="A6" t="s">
        <v>564</v>
      </c>
      <c r="B6" t="s">
        <v>474</v>
      </c>
      <c r="C6">
        <v>3</v>
      </c>
      <c r="D6" s="33">
        <v>44427</v>
      </c>
      <c r="E6" t="s">
        <v>350</v>
      </c>
      <c r="F6" t="s">
        <v>340</v>
      </c>
      <c r="G6" t="s">
        <v>351</v>
      </c>
      <c r="H6" t="s">
        <v>486</v>
      </c>
      <c r="I6" t="s">
        <v>344</v>
      </c>
      <c r="J6" t="s">
        <v>678</v>
      </c>
      <c r="K6" t="s">
        <v>564</v>
      </c>
      <c r="M6" t="s">
        <v>480</v>
      </c>
      <c r="N6">
        <v>2</v>
      </c>
      <c r="O6" t="s">
        <v>317</v>
      </c>
      <c r="P6" t="s">
        <v>533</v>
      </c>
      <c r="Q6" s="12" t="s">
        <v>569</v>
      </c>
      <c r="R6" t="s">
        <v>570</v>
      </c>
      <c r="S6">
        <v>800</v>
      </c>
      <c r="T6">
        <v>12</v>
      </c>
      <c r="U6" t="s">
        <v>265</v>
      </c>
      <c r="V6" t="s">
        <v>574</v>
      </c>
      <c r="W6" t="s">
        <v>454</v>
      </c>
      <c r="Z6" t="s">
        <v>267</v>
      </c>
    </row>
    <row r="7" spans="1:58" x14ac:dyDescent="0.25">
      <c r="A7" t="s">
        <v>564</v>
      </c>
      <c r="B7" t="s">
        <v>474</v>
      </c>
      <c r="C7">
        <v>3</v>
      </c>
      <c r="D7" s="33">
        <v>44427</v>
      </c>
      <c r="E7" t="s">
        <v>350</v>
      </c>
      <c r="F7" t="s">
        <v>340</v>
      </c>
      <c r="G7" t="s">
        <v>351</v>
      </c>
      <c r="H7" t="s">
        <v>486</v>
      </c>
      <c r="I7" t="s">
        <v>344</v>
      </c>
      <c r="J7" t="s">
        <v>679</v>
      </c>
      <c r="K7" t="s">
        <v>564</v>
      </c>
      <c r="L7" t="s">
        <v>534</v>
      </c>
      <c r="M7" t="s">
        <v>480</v>
      </c>
      <c r="N7">
        <v>1</v>
      </c>
      <c r="O7" t="s">
        <v>317</v>
      </c>
      <c r="P7" t="s">
        <v>527</v>
      </c>
      <c r="Q7" s="12" t="s">
        <v>568</v>
      </c>
      <c r="R7" t="s">
        <v>527</v>
      </c>
      <c r="S7">
        <v>751</v>
      </c>
      <c r="T7">
        <v>12</v>
      </c>
      <c r="U7" t="s">
        <v>276</v>
      </c>
      <c r="V7" t="s">
        <v>573</v>
      </c>
      <c r="W7" t="s">
        <v>308</v>
      </c>
      <c r="Y7" t="s">
        <v>193</v>
      </c>
      <c r="Z7" t="s">
        <v>254</v>
      </c>
      <c r="AB7" t="s">
        <v>534</v>
      </c>
      <c r="AC7" t="s">
        <v>412</v>
      </c>
      <c r="AE7" t="s">
        <v>6</v>
      </c>
      <c r="AI7" t="s">
        <v>661</v>
      </c>
      <c r="AJ7" t="s">
        <v>661</v>
      </c>
      <c r="AK7" t="s">
        <v>661</v>
      </c>
      <c r="AL7" t="s">
        <v>661</v>
      </c>
      <c r="AM7" t="s">
        <v>661</v>
      </c>
      <c r="AN7" t="s">
        <v>661</v>
      </c>
      <c r="AO7" t="s">
        <v>661</v>
      </c>
      <c r="AP7" t="s">
        <v>661</v>
      </c>
      <c r="AR7" t="s">
        <v>661</v>
      </c>
      <c r="AS7" t="s">
        <v>661</v>
      </c>
      <c r="AT7" t="s">
        <v>279</v>
      </c>
      <c r="AU7" t="s">
        <v>279</v>
      </c>
      <c r="AV7" t="s">
        <v>7</v>
      </c>
      <c r="AW7" t="s">
        <v>765</v>
      </c>
      <c r="AX7" t="s">
        <v>756</v>
      </c>
      <c r="AY7" t="s">
        <v>7</v>
      </c>
      <c r="AZ7" t="s">
        <v>271</v>
      </c>
      <c r="BA7" t="s">
        <v>730</v>
      </c>
      <c r="BB7" t="s">
        <v>730</v>
      </c>
      <c r="BD7" t="s">
        <v>661</v>
      </c>
    </row>
    <row r="8" spans="1:58" x14ac:dyDescent="0.25">
      <c r="A8" t="s">
        <v>565</v>
      </c>
      <c r="B8" t="s">
        <v>474</v>
      </c>
      <c r="C8">
        <v>4</v>
      </c>
      <c r="D8" s="33">
        <v>44428</v>
      </c>
      <c r="E8" t="s">
        <v>350</v>
      </c>
      <c r="F8" t="s">
        <v>340</v>
      </c>
      <c r="G8" t="s">
        <v>351</v>
      </c>
      <c r="H8" t="s">
        <v>491</v>
      </c>
      <c r="I8" t="s">
        <v>344</v>
      </c>
      <c r="J8" t="s">
        <v>680</v>
      </c>
      <c r="K8" t="s">
        <v>565</v>
      </c>
      <c r="L8" t="s">
        <v>531</v>
      </c>
      <c r="M8" t="s">
        <v>480</v>
      </c>
      <c r="N8">
        <v>1</v>
      </c>
      <c r="O8" t="s">
        <v>317</v>
      </c>
      <c r="P8" t="s">
        <v>264</v>
      </c>
      <c r="Q8" s="12" t="s">
        <v>571</v>
      </c>
      <c r="R8" t="s">
        <v>570</v>
      </c>
      <c r="S8">
        <v>21</v>
      </c>
      <c r="T8">
        <v>2</v>
      </c>
      <c r="U8" t="s">
        <v>252</v>
      </c>
      <c r="V8" t="s">
        <v>552</v>
      </c>
      <c r="W8" t="s">
        <v>308</v>
      </c>
      <c r="Y8" t="s">
        <v>222</v>
      </c>
      <c r="Z8" t="s">
        <v>219</v>
      </c>
      <c r="AB8" t="s">
        <v>531</v>
      </c>
      <c r="AC8" t="s">
        <v>6</v>
      </c>
      <c r="AD8" t="s">
        <v>116</v>
      </c>
      <c r="AE8" t="s">
        <v>6</v>
      </c>
      <c r="AF8" t="s">
        <v>244</v>
      </c>
      <c r="AG8" t="s">
        <v>226</v>
      </c>
      <c r="AH8" t="s">
        <v>483</v>
      </c>
      <c r="AI8" t="s">
        <v>651</v>
      </c>
      <c r="AJ8" t="s">
        <v>651</v>
      </c>
      <c r="AK8" t="s">
        <v>651</v>
      </c>
      <c r="AL8" t="s">
        <v>651</v>
      </c>
      <c r="AM8" t="s">
        <v>651</v>
      </c>
      <c r="AN8" t="s">
        <v>651</v>
      </c>
      <c r="AO8" t="s">
        <v>651</v>
      </c>
      <c r="AP8" t="s">
        <v>651</v>
      </c>
      <c r="AQ8" t="s">
        <v>408</v>
      </c>
      <c r="AR8" t="s">
        <v>651</v>
      </c>
      <c r="AS8" t="s">
        <v>651</v>
      </c>
      <c r="AT8" t="s">
        <v>279</v>
      </c>
      <c r="AU8" t="s">
        <v>279</v>
      </c>
      <c r="AV8" t="s">
        <v>241</v>
      </c>
      <c r="AW8" t="s">
        <v>763</v>
      </c>
      <c r="AX8" t="s">
        <v>754</v>
      </c>
      <c r="AY8" t="s">
        <v>7</v>
      </c>
      <c r="AZ8" t="s">
        <v>242</v>
      </c>
      <c r="BA8" t="s">
        <v>732</v>
      </c>
      <c r="BB8" t="s">
        <v>729</v>
      </c>
      <c r="BC8" t="s">
        <v>241</v>
      </c>
      <c r="BD8" t="s">
        <v>651</v>
      </c>
      <c r="BF8" t="s">
        <v>241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FB05-A168-4892-8B70-2271D1DD7149}">
  <sheetPr>
    <tabColor theme="1"/>
  </sheetPr>
  <dimension ref="A1:DE52"/>
  <sheetViews>
    <sheetView topLeftCell="BW25" workbookViewId="0">
      <selection activeCell="CA47" sqref="CA47"/>
    </sheetView>
  </sheetViews>
  <sheetFormatPr baseColWidth="10" defaultColWidth="9.140625" defaultRowHeight="15" x14ac:dyDescent="0.25"/>
  <cols>
    <col min="1" max="1" width="11.5703125" bestFit="1" customWidth="1"/>
    <col min="2" max="2" width="14" bestFit="1" customWidth="1"/>
    <col min="3" max="3" width="18.5703125" bestFit="1" customWidth="1"/>
    <col min="4" max="4" width="16.5703125" style="33" bestFit="1" customWidth="1"/>
    <col min="5" max="5" width="17.5703125" bestFit="1" customWidth="1"/>
    <col min="6" max="6" width="17" bestFit="1" customWidth="1"/>
    <col min="7" max="7" width="27.5703125" bestFit="1" customWidth="1"/>
    <col min="8" max="8" width="23" bestFit="1" customWidth="1"/>
    <col min="9" max="9" width="51.7109375" bestFit="1" customWidth="1"/>
    <col min="10" max="10" width="25" bestFit="1" customWidth="1"/>
    <col min="11" max="11" width="26" bestFit="1" customWidth="1"/>
    <col min="12" max="12" width="32.5703125" bestFit="1" customWidth="1"/>
    <col min="13" max="13" width="20.42578125" bestFit="1" customWidth="1"/>
    <col min="14" max="14" width="27.85546875" bestFit="1" customWidth="1"/>
    <col min="15" max="15" width="34.28515625" bestFit="1" customWidth="1"/>
    <col min="16" max="16" width="26.28515625" bestFit="1" customWidth="1"/>
    <col min="17" max="17" width="32.5703125" bestFit="1" customWidth="1"/>
    <col min="18" max="18" width="27.85546875" bestFit="1" customWidth="1"/>
    <col min="19" max="19" width="23.85546875" bestFit="1" customWidth="1"/>
    <col min="20" max="20" width="29" bestFit="1" customWidth="1"/>
    <col min="21" max="21" width="21" bestFit="1" customWidth="1"/>
    <col min="22" max="22" width="30.42578125" bestFit="1" customWidth="1"/>
    <col min="23" max="23" width="17.7109375" bestFit="1" customWidth="1"/>
    <col min="24" max="27" width="81.140625" bestFit="1" customWidth="1"/>
    <col min="28" max="28" width="45.28515625" bestFit="1" customWidth="1"/>
    <col min="29" max="29" width="41.42578125" bestFit="1" customWidth="1"/>
    <col min="30" max="30" width="44.85546875" bestFit="1" customWidth="1"/>
    <col min="31" max="31" width="64" bestFit="1" customWidth="1"/>
    <col min="32" max="32" width="69.140625" bestFit="1" customWidth="1"/>
    <col min="33" max="33" width="31.5703125" bestFit="1" customWidth="1"/>
    <col min="34" max="34" width="12.85546875" bestFit="1" customWidth="1"/>
    <col min="35" max="35" width="19.42578125" bestFit="1" customWidth="1"/>
    <col min="36" max="36" width="23.85546875" bestFit="1" customWidth="1"/>
    <col min="37" max="37" width="17.140625" bestFit="1" customWidth="1"/>
    <col min="38" max="38" width="15.42578125" bestFit="1" customWidth="1"/>
    <col min="39" max="39" width="15.28515625" bestFit="1" customWidth="1"/>
    <col min="40" max="40" width="19.85546875" bestFit="1" customWidth="1"/>
    <col min="41" max="41" width="22.5703125" bestFit="1" customWidth="1"/>
    <col min="42" max="42" width="20" bestFit="1" customWidth="1"/>
    <col min="43" max="43" width="21.5703125" bestFit="1" customWidth="1"/>
    <col min="44" max="44" width="23.85546875" bestFit="1" customWidth="1"/>
    <col min="45" max="45" width="16.140625" bestFit="1" customWidth="1"/>
    <col min="46" max="46" width="22.140625" bestFit="1" customWidth="1"/>
    <col min="47" max="47" width="21.42578125" bestFit="1" customWidth="1"/>
    <col min="48" max="48" width="15.5703125" bestFit="1" customWidth="1"/>
    <col min="49" max="49" width="40.140625" bestFit="1" customWidth="1"/>
    <col min="50" max="50" width="16.5703125" bestFit="1" customWidth="1"/>
    <col min="51" max="51" width="20.85546875" bestFit="1" customWidth="1"/>
    <col min="52" max="52" width="22.140625" bestFit="1" customWidth="1"/>
    <col min="53" max="53" width="23.85546875" bestFit="1" customWidth="1"/>
    <col min="54" max="54" width="25.5703125" bestFit="1" customWidth="1"/>
    <col min="55" max="55" width="27.140625" bestFit="1" customWidth="1"/>
    <col min="56" max="56" width="16.42578125" bestFit="1" customWidth="1"/>
    <col min="57" max="57" width="21.7109375" bestFit="1" customWidth="1"/>
    <col min="58" max="58" width="21" bestFit="1" customWidth="1"/>
    <col min="59" max="59" width="18.5703125" bestFit="1" customWidth="1"/>
    <col min="60" max="60" width="37.28515625" bestFit="1" customWidth="1"/>
    <col min="61" max="61" width="27.140625" bestFit="1" customWidth="1"/>
    <col min="62" max="62" width="40.42578125" bestFit="1" customWidth="1"/>
    <col min="63" max="63" width="35.85546875" bestFit="1" customWidth="1"/>
    <col min="64" max="64" width="28.42578125" bestFit="1" customWidth="1"/>
    <col min="65" max="65" width="19.28515625" bestFit="1" customWidth="1"/>
    <col min="66" max="66" width="26.28515625" bestFit="1" customWidth="1"/>
    <col min="67" max="69" width="24.7109375" bestFit="1" customWidth="1"/>
    <col min="70" max="70" width="29.140625" style="5" bestFit="1" customWidth="1"/>
    <col min="71" max="71" width="19.7109375" style="5" bestFit="1" customWidth="1"/>
    <col min="72" max="72" width="21.7109375" bestFit="1" customWidth="1"/>
    <col min="73" max="73" width="20.7109375" bestFit="1" customWidth="1"/>
    <col min="74" max="74" width="26" bestFit="1" customWidth="1"/>
    <col min="75" max="75" width="21" bestFit="1" customWidth="1"/>
    <col min="76" max="76" width="28" style="3" bestFit="1" customWidth="1"/>
    <col min="77" max="77" width="30.140625" bestFit="1" customWidth="1"/>
    <col min="78" max="78" width="24.42578125" bestFit="1" customWidth="1"/>
    <col min="79" max="79" width="27.5703125" bestFit="1" customWidth="1"/>
    <col min="80" max="80" width="31.42578125" bestFit="1" customWidth="1"/>
    <col min="81" max="81" width="43.5703125" bestFit="1" customWidth="1"/>
    <col min="82" max="82" width="33.140625" bestFit="1" customWidth="1"/>
    <col min="83" max="83" width="32.28515625" bestFit="1" customWidth="1"/>
    <col min="84" max="84" width="29.85546875" bestFit="1" customWidth="1"/>
    <col min="85" max="85" width="29.42578125" bestFit="1" customWidth="1"/>
    <col min="86" max="86" width="29.28515625" bestFit="1" customWidth="1"/>
    <col min="87" max="87" width="30.140625" bestFit="1" customWidth="1"/>
    <col min="88" max="88" width="29.42578125" bestFit="1" customWidth="1"/>
    <col min="89" max="89" width="34.140625" bestFit="1" customWidth="1"/>
    <col min="90" max="90" width="40.140625" bestFit="1" customWidth="1"/>
    <col min="91" max="92" width="39.42578125" bestFit="1" customWidth="1"/>
    <col min="93" max="93" width="32.42578125" bestFit="1" customWidth="1"/>
    <col min="94" max="94" width="48" bestFit="1" customWidth="1"/>
    <col min="95" max="95" width="31.140625" bestFit="1" customWidth="1"/>
    <col min="96" max="96" width="30.7109375" bestFit="1" customWidth="1"/>
    <col min="97" max="97" width="34.42578125" bestFit="1" customWidth="1"/>
    <col min="98" max="98" width="34.140625" bestFit="1" customWidth="1"/>
    <col min="99" max="99" width="55.42578125" bestFit="1" customWidth="1"/>
    <col min="100" max="100" width="36.7109375" bestFit="1" customWidth="1"/>
    <col min="101" max="101" width="41.28515625" bestFit="1" customWidth="1"/>
    <col min="102" max="102" width="52.7109375" bestFit="1" customWidth="1"/>
    <col min="103" max="103" width="36.28515625" bestFit="1" customWidth="1"/>
    <col min="104" max="104" width="30.5703125" bestFit="1" customWidth="1"/>
    <col min="105" max="105" width="46" bestFit="1" customWidth="1"/>
    <col min="106" max="106" width="30.5703125" bestFit="1" customWidth="1"/>
    <col min="107" max="107" width="31" bestFit="1" customWidth="1"/>
    <col min="108" max="108" width="43.140625" bestFit="1" customWidth="1"/>
    <col min="109" max="109" width="28.7109375" bestFit="1" customWidth="1"/>
    <col min="110" max="110" width="28.7109375" customWidth="1"/>
    <col min="111" max="111" width="28.85546875" customWidth="1"/>
  </cols>
  <sheetData>
    <row r="1" spans="1:109" x14ac:dyDescent="0.25">
      <c r="A1" t="s">
        <v>15</v>
      </c>
      <c r="B1" t="s">
        <v>476</v>
      </c>
      <c r="C1" t="s">
        <v>16</v>
      </c>
      <c r="D1" s="33" t="s">
        <v>17</v>
      </c>
      <c r="E1" t="s">
        <v>18</v>
      </c>
      <c r="F1" t="s">
        <v>19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328</v>
      </c>
      <c r="Y1" t="s">
        <v>329</v>
      </c>
      <c r="Z1" t="s">
        <v>330</v>
      </c>
      <c r="AA1" t="s">
        <v>331</v>
      </c>
      <c r="AB1" t="s">
        <v>332</v>
      </c>
      <c r="AC1" t="s">
        <v>333</v>
      </c>
      <c r="AD1" t="s">
        <v>334</v>
      </c>
      <c r="AE1" t="s">
        <v>335</v>
      </c>
      <c r="AF1" t="s">
        <v>336</v>
      </c>
      <c r="AG1" t="s">
        <v>337</v>
      </c>
      <c r="AH1" t="s">
        <v>22</v>
      </c>
      <c r="AI1" t="s">
        <v>23</v>
      </c>
      <c r="AJ1" t="s">
        <v>24</v>
      </c>
      <c r="AK1" t="s">
        <v>27</v>
      </c>
      <c r="AL1" t="s">
        <v>471</v>
      </c>
      <c r="AM1" t="s">
        <v>477</v>
      </c>
      <c r="AN1" t="s">
        <v>124</v>
      </c>
      <c r="AO1" t="s">
        <v>125</v>
      </c>
      <c r="AP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  <c r="BF1" t="s">
        <v>142</v>
      </c>
      <c r="BG1" t="s">
        <v>143</v>
      </c>
      <c r="BH1" t="s">
        <v>144</v>
      </c>
      <c r="BI1" t="s">
        <v>145</v>
      </c>
      <c r="BJ1" t="s">
        <v>146</v>
      </c>
      <c r="BK1" t="s">
        <v>147</v>
      </c>
      <c r="BL1" t="s">
        <v>148</v>
      </c>
      <c r="BM1" t="s">
        <v>29</v>
      </c>
      <c r="BN1" t="s">
        <v>167</v>
      </c>
      <c r="BO1" t="s">
        <v>168</v>
      </c>
      <c r="BP1" t="s">
        <v>169</v>
      </c>
      <c r="BQ1" t="s">
        <v>170</v>
      </c>
      <c r="BR1" t="s">
        <v>171</v>
      </c>
      <c r="BS1" t="s">
        <v>310</v>
      </c>
      <c r="BT1" s="5" t="s">
        <v>311</v>
      </c>
      <c r="BU1" s="5" t="s">
        <v>312</v>
      </c>
      <c r="BV1" t="s">
        <v>313</v>
      </c>
      <c r="BW1" t="s">
        <v>30</v>
      </c>
      <c r="BX1" t="s">
        <v>172</v>
      </c>
      <c r="BY1" t="s">
        <v>173</v>
      </c>
      <c r="BZ1" s="3" t="s">
        <v>174</v>
      </c>
      <c r="CA1" t="s">
        <v>28</v>
      </c>
      <c r="CB1" t="s">
        <v>155</v>
      </c>
      <c r="CC1" t="s">
        <v>156</v>
      </c>
      <c r="CD1" t="s">
        <v>772</v>
      </c>
      <c r="CE1" t="s">
        <v>164</v>
      </c>
      <c r="CF1" t="s">
        <v>183</v>
      </c>
      <c r="CG1" t="s">
        <v>184</v>
      </c>
      <c r="CH1" t="s">
        <v>165</v>
      </c>
      <c r="CI1" t="s">
        <v>166</v>
      </c>
      <c r="CJ1" t="s">
        <v>180</v>
      </c>
      <c r="CK1" t="s">
        <v>339</v>
      </c>
      <c r="CL1" t="s">
        <v>181</v>
      </c>
      <c r="CM1" t="s">
        <v>444</v>
      </c>
      <c r="CN1" t="s">
        <v>445</v>
      </c>
      <c r="CO1" t="s">
        <v>182</v>
      </c>
      <c r="CP1" t="s">
        <v>185</v>
      </c>
      <c r="CQ1" t="s">
        <v>440</v>
      </c>
      <c r="CR1" t="s">
        <v>441</v>
      </c>
      <c r="CS1" t="s">
        <v>158</v>
      </c>
      <c r="CT1" t="s">
        <v>159</v>
      </c>
      <c r="CU1" t="s">
        <v>338</v>
      </c>
      <c r="CV1" t="s">
        <v>747</v>
      </c>
      <c r="CW1" t="s">
        <v>748</v>
      </c>
      <c r="CX1" t="s">
        <v>749</v>
      </c>
      <c r="CY1" t="s">
        <v>160</v>
      </c>
      <c r="CZ1" t="s">
        <v>161</v>
      </c>
      <c r="DA1" t="s">
        <v>162</v>
      </c>
      <c r="DB1" t="s">
        <v>163</v>
      </c>
      <c r="DC1" t="s">
        <v>356</v>
      </c>
      <c r="DD1" t="s">
        <v>470</v>
      </c>
      <c r="DE1" t="s">
        <v>157</v>
      </c>
    </row>
    <row r="2" spans="1:109" x14ac:dyDescent="0.25">
      <c r="A2" t="s">
        <v>520</v>
      </c>
      <c r="B2" t="s">
        <v>479</v>
      </c>
      <c r="C2">
        <v>0</v>
      </c>
      <c r="AH2" t="s">
        <v>689</v>
      </c>
      <c r="AI2" t="s">
        <v>520</v>
      </c>
      <c r="AJ2" t="s">
        <v>347</v>
      </c>
      <c r="AM2" t="s">
        <v>475</v>
      </c>
      <c r="AN2">
        <v>1</v>
      </c>
      <c r="AO2" t="s">
        <v>192</v>
      </c>
      <c r="AP2">
        <v>1</v>
      </c>
      <c r="AS2">
        <v>1</v>
      </c>
      <c r="AT2">
        <v>0</v>
      </c>
      <c r="AU2">
        <v>1</v>
      </c>
      <c r="AV2" t="s">
        <v>222</v>
      </c>
      <c r="BF2">
        <v>1</v>
      </c>
      <c r="BG2" t="s">
        <v>408</v>
      </c>
      <c r="BR2"/>
      <c r="BS2"/>
      <c r="BT2" s="5"/>
      <c r="BU2" s="5"/>
      <c r="BX2"/>
      <c r="BZ2" s="3"/>
      <c r="CA2" t="s">
        <v>347</v>
      </c>
      <c r="CB2" t="s">
        <v>6</v>
      </c>
    </row>
    <row r="3" spans="1:109" x14ac:dyDescent="0.25">
      <c r="A3" t="s">
        <v>520</v>
      </c>
      <c r="B3" t="s">
        <v>479</v>
      </c>
      <c r="C3">
        <v>0</v>
      </c>
      <c r="AH3" t="s">
        <v>690</v>
      </c>
      <c r="AI3" t="s">
        <v>520</v>
      </c>
      <c r="AJ3" t="s">
        <v>347</v>
      </c>
      <c r="AL3" t="s">
        <v>546</v>
      </c>
      <c r="AM3" t="s">
        <v>475</v>
      </c>
      <c r="AN3">
        <v>2</v>
      </c>
      <c r="AO3" t="s">
        <v>233</v>
      </c>
      <c r="AP3">
        <v>2</v>
      </c>
      <c r="AS3">
        <v>2</v>
      </c>
      <c r="AT3">
        <v>1</v>
      </c>
      <c r="AU3">
        <v>3</v>
      </c>
      <c r="BF3">
        <v>2</v>
      </c>
      <c r="BG3" t="s">
        <v>308</v>
      </c>
      <c r="BM3" t="s">
        <v>546</v>
      </c>
      <c r="BN3">
        <v>4</v>
      </c>
      <c r="BO3">
        <v>3</v>
      </c>
      <c r="BP3">
        <v>2</v>
      </c>
      <c r="BQ3">
        <v>1</v>
      </c>
      <c r="BR3">
        <v>2</v>
      </c>
      <c r="BS3">
        <v>11.3</v>
      </c>
      <c r="BT3" s="5">
        <v>10</v>
      </c>
      <c r="BU3" s="5" t="s">
        <v>691</v>
      </c>
      <c r="BV3">
        <v>120</v>
      </c>
      <c r="BX3"/>
      <c r="BZ3" s="3"/>
      <c r="CA3" t="s">
        <v>347</v>
      </c>
      <c r="CB3" t="s">
        <v>6</v>
      </c>
    </row>
    <row r="4" spans="1:109" x14ac:dyDescent="0.25">
      <c r="A4" t="s">
        <v>520</v>
      </c>
      <c r="B4" t="s">
        <v>479</v>
      </c>
      <c r="C4">
        <v>0</v>
      </c>
      <c r="AH4" t="s">
        <v>688</v>
      </c>
      <c r="AI4" t="s">
        <v>520</v>
      </c>
      <c r="AJ4" t="s">
        <v>347</v>
      </c>
      <c r="AK4" t="s">
        <v>740</v>
      </c>
      <c r="AM4" t="s">
        <v>475</v>
      </c>
      <c r="AN4">
        <v>3</v>
      </c>
      <c r="AO4" t="s">
        <v>251</v>
      </c>
      <c r="AP4">
        <v>3</v>
      </c>
      <c r="AS4">
        <v>3</v>
      </c>
      <c r="AT4">
        <v>3</v>
      </c>
      <c r="AU4">
        <v>6</v>
      </c>
      <c r="BF4" t="s">
        <v>570</v>
      </c>
      <c r="BG4" t="s">
        <v>308</v>
      </c>
      <c r="BR4"/>
      <c r="BS4"/>
      <c r="BT4" s="5"/>
      <c r="BU4" s="5"/>
      <c r="BW4" t="s">
        <v>740</v>
      </c>
      <c r="BX4">
        <v>5</v>
      </c>
      <c r="BY4" t="s">
        <v>314</v>
      </c>
      <c r="BZ4" s="3">
        <v>21</v>
      </c>
      <c r="CA4" t="s">
        <v>347</v>
      </c>
      <c r="CB4" t="s">
        <v>6</v>
      </c>
    </row>
    <row r="5" spans="1:109" x14ac:dyDescent="0.25">
      <c r="A5" t="s">
        <v>520</v>
      </c>
      <c r="B5" t="s">
        <v>479</v>
      </c>
      <c r="C5">
        <v>0</v>
      </c>
      <c r="AH5" t="s">
        <v>723</v>
      </c>
      <c r="AI5" t="s">
        <v>520</v>
      </c>
      <c r="AM5" t="s">
        <v>475</v>
      </c>
      <c r="AN5">
        <v>13</v>
      </c>
      <c r="AO5" t="s">
        <v>301</v>
      </c>
      <c r="AP5">
        <v>13</v>
      </c>
      <c r="AS5">
        <v>13</v>
      </c>
      <c r="AT5">
        <v>78</v>
      </c>
      <c r="AU5">
        <v>91</v>
      </c>
      <c r="BF5">
        <v>13</v>
      </c>
      <c r="BG5" t="s">
        <v>308</v>
      </c>
      <c r="BR5"/>
      <c r="BS5"/>
      <c r="BT5" s="5"/>
      <c r="BU5" s="5"/>
      <c r="BX5"/>
      <c r="BZ5" s="3"/>
    </row>
    <row r="6" spans="1:109" x14ac:dyDescent="0.25">
      <c r="A6" t="s">
        <v>520</v>
      </c>
      <c r="B6" t="s">
        <v>479</v>
      </c>
      <c r="C6">
        <v>0</v>
      </c>
      <c r="AH6" t="s">
        <v>722</v>
      </c>
      <c r="AI6" t="s">
        <v>520</v>
      </c>
      <c r="AM6" t="s">
        <v>475</v>
      </c>
      <c r="AN6">
        <v>12</v>
      </c>
      <c r="AO6" t="s">
        <v>301</v>
      </c>
      <c r="AP6">
        <v>12</v>
      </c>
      <c r="AS6">
        <v>12</v>
      </c>
      <c r="AT6">
        <v>66</v>
      </c>
      <c r="AU6">
        <v>78</v>
      </c>
      <c r="BF6">
        <v>12</v>
      </c>
      <c r="BG6" t="s">
        <v>308</v>
      </c>
      <c r="BR6"/>
      <c r="BS6"/>
      <c r="BT6" s="5"/>
      <c r="BU6" s="5"/>
      <c r="BX6"/>
      <c r="BZ6" s="3"/>
    </row>
    <row r="7" spans="1:109" x14ac:dyDescent="0.25">
      <c r="A7" t="s">
        <v>520</v>
      </c>
      <c r="B7" t="s">
        <v>479</v>
      </c>
      <c r="C7">
        <v>0</v>
      </c>
      <c r="AH7" t="s">
        <v>721</v>
      </c>
      <c r="AI7" t="s">
        <v>520</v>
      </c>
      <c r="AM7" t="s">
        <v>475</v>
      </c>
      <c r="AN7">
        <v>11</v>
      </c>
      <c r="AO7" t="s">
        <v>301</v>
      </c>
      <c r="AP7">
        <v>11</v>
      </c>
      <c r="AS7">
        <v>11</v>
      </c>
      <c r="AT7">
        <v>55</v>
      </c>
      <c r="AU7">
        <v>66</v>
      </c>
      <c r="BF7">
        <v>11</v>
      </c>
      <c r="BG7" t="s">
        <v>308</v>
      </c>
      <c r="BR7"/>
      <c r="BS7"/>
      <c r="BT7" s="5"/>
      <c r="BU7" s="5"/>
      <c r="BX7"/>
      <c r="BZ7" s="3"/>
    </row>
    <row r="8" spans="1:109" x14ac:dyDescent="0.25">
      <c r="A8" t="s">
        <v>520</v>
      </c>
      <c r="B8" t="s">
        <v>479</v>
      </c>
      <c r="C8">
        <v>0</v>
      </c>
      <c r="AH8" t="s">
        <v>686</v>
      </c>
      <c r="AI8" t="s">
        <v>520</v>
      </c>
      <c r="AJ8" t="s">
        <v>347</v>
      </c>
      <c r="AM8" t="s">
        <v>475</v>
      </c>
      <c r="AN8">
        <v>4</v>
      </c>
      <c r="AO8" t="s">
        <v>264</v>
      </c>
      <c r="AP8">
        <v>4</v>
      </c>
      <c r="AS8">
        <v>4</v>
      </c>
      <c r="AT8">
        <v>6</v>
      </c>
      <c r="AU8">
        <v>10</v>
      </c>
      <c r="BF8">
        <v>4</v>
      </c>
      <c r="BG8" t="s">
        <v>308</v>
      </c>
      <c r="BR8"/>
      <c r="BS8"/>
      <c r="BT8" s="5"/>
      <c r="BU8" s="5"/>
      <c r="BX8"/>
      <c r="BZ8" s="3"/>
      <c r="CA8" t="s">
        <v>347</v>
      </c>
      <c r="CB8" t="s">
        <v>6</v>
      </c>
    </row>
    <row r="9" spans="1:109" x14ac:dyDescent="0.25">
      <c r="A9" t="s">
        <v>520</v>
      </c>
      <c r="B9" t="s">
        <v>479</v>
      </c>
      <c r="C9">
        <v>0</v>
      </c>
      <c r="AH9" t="s">
        <v>683</v>
      </c>
      <c r="AI9" t="s">
        <v>520</v>
      </c>
      <c r="AJ9" t="s">
        <v>347</v>
      </c>
      <c r="AM9" t="s">
        <v>475</v>
      </c>
      <c r="AN9">
        <v>8</v>
      </c>
      <c r="AO9" t="s">
        <v>294</v>
      </c>
      <c r="AP9">
        <v>8</v>
      </c>
      <c r="AS9">
        <v>8</v>
      </c>
      <c r="AT9">
        <v>28</v>
      </c>
      <c r="AU9">
        <v>36</v>
      </c>
      <c r="AV9" t="s">
        <v>222</v>
      </c>
      <c r="BF9">
        <v>8</v>
      </c>
      <c r="BG9" t="s">
        <v>408</v>
      </c>
      <c r="BR9"/>
      <c r="BS9"/>
      <c r="BT9" s="5"/>
      <c r="BU9" s="5"/>
      <c r="BX9"/>
      <c r="BZ9" s="3"/>
      <c r="CA9" t="s">
        <v>347</v>
      </c>
      <c r="CB9" t="s">
        <v>6</v>
      </c>
    </row>
    <row r="10" spans="1:109" x14ac:dyDescent="0.25">
      <c r="A10" t="s">
        <v>520</v>
      </c>
      <c r="B10" t="s">
        <v>479</v>
      </c>
      <c r="C10">
        <v>0</v>
      </c>
      <c r="AH10" t="s">
        <v>685</v>
      </c>
      <c r="AI10" t="s">
        <v>520</v>
      </c>
      <c r="AJ10" t="s">
        <v>347</v>
      </c>
      <c r="AM10" t="s">
        <v>475</v>
      </c>
      <c r="AN10">
        <v>9</v>
      </c>
      <c r="AO10" t="s">
        <v>298</v>
      </c>
      <c r="AP10">
        <v>9</v>
      </c>
      <c r="AS10">
        <v>9</v>
      </c>
      <c r="AT10">
        <v>36</v>
      </c>
      <c r="AU10">
        <v>45</v>
      </c>
      <c r="AV10" t="s">
        <v>222</v>
      </c>
      <c r="BF10">
        <v>9</v>
      </c>
      <c r="BG10" t="s">
        <v>408</v>
      </c>
      <c r="BR10"/>
      <c r="BS10"/>
      <c r="BT10" s="5"/>
      <c r="BU10" s="5"/>
      <c r="BX10"/>
      <c r="BZ10" s="3"/>
      <c r="CA10" t="s">
        <v>347</v>
      </c>
      <c r="CB10" t="s">
        <v>6</v>
      </c>
    </row>
    <row r="11" spans="1:109" x14ac:dyDescent="0.25">
      <c r="A11" t="s">
        <v>520</v>
      </c>
      <c r="B11" t="s">
        <v>479</v>
      </c>
      <c r="C11">
        <v>0</v>
      </c>
      <c r="AH11" t="s">
        <v>684</v>
      </c>
      <c r="AI11" t="s">
        <v>520</v>
      </c>
      <c r="AJ11" t="s">
        <v>347</v>
      </c>
      <c r="AM11" t="s">
        <v>475</v>
      </c>
      <c r="AN11">
        <v>10</v>
      </c>
      <c r="AO11" t="s">
        <v>301</v>
      </c>
      <c r="AP11">
        <v>10</v>
      </c>
      <c r="AS11">
        <v>10</v>
      </c>
      <c r="AT11">
        <v>45</v>
      </c>
      <c r="AU11">
        <v>55</v>
      </c>
      <c r="AV11" t="s">
        <v>222</v>
      </c>
      <c r="BF11">
        <v>10</v>
      </c>
      <c r="BG11" t="s">
        <v>408</v>
      </c>
      <c r="BR11"/>
      <c r="BS11"/>
      <c r="BT11" s="5"/>
      <c r="BU11" s="5"/>
      <c r="BX11"/>
      <c r="BZ11" s="3"/>
      <c r="CA11" t="s">
        <v>347</v>
      </c>
      <c r="CB11" t="s">
        <v>6</v>
      </c>
    </row>
    <row r="12" spans="1:109" x14ac:dyDescent="0.25">
      <c r="A12" t="s">
        <v>520</v>
      </c>
      <c r="B12" t="s">
        <v>479</v>
      </c>
      <c r="C12">
        <v>0</v>
      </c>
      <c r="AH12" t="s">
        <v>687</v>
      </c>
      <c r="AI12" t="s">
        <v>520</v>
      </c>
      <c r="AJ12" t="s">
        <v>347</v>
      </c>
      <c r="AM12" t="s">
        <v>475</v>
      </c>
      <c r="AN12">
        <v>5</v>
      </c>
      <c r="AO12" t="s">
        <v>275</v>
      </c>
      <c r="AP12">
        <v>5</v>
      </c>
      <c r="AS12">
        <v>5</v>
      </c>
      <c r="AT12">
        <v>10</v>
      </c>
      <c r="AU12">
        <v>15</v>
      </c>
      <c r="AV12" t="s">
        <v>222</v>
      </c>
      <c r="BF12">
        <v>5</v>
      </c>
      <c r="BG12" t="s">
        <v>408</v>
      </c>
      <c r="BR12"/>
      <c r="BS12"/>
      <c r="BT12" s="5"/>
      <c r="BU12" s="5"/>
      <c r="BX12"/>
      <c r="BZ12" s="3"/>
      <c r="CA12" t="s">
        <v>347</v>
      </c>
      <c r="CB12" t="s">
        <v>6</v>
      </c>
    </row>
    <row r="13" spans="1:109" x14ac:dyDescent="0.25">
      <c r="A13" t="s">
        <v>520</v>
      </c>
      <c r="B13" t="s">
        <v>479</v>
      </c>
      <c r="C13">
        <v>0</v>
      </c>
      <c r="AH13" t="s">
        <v>682</v>
      </c>
      <c r="AI13" t="s">
        <v>520</v>
      </c>
      <c r="AJ13" t="s">
        <v>347</v>
      </c>
      <c r="AM13" t="s">
        <v>475</v>
      </c>
      <c r="AN13">
        <v>6</v>
      </c>
      <c r="AO13" t="s">
        <v>283</v>
      </c>
      <c r="AP13">
        <v>6</v>
      </c>
      <c r="AS13">
        <v>6</v>
      </c>
      <c r="AT13">
        <v>15</v>
      </c>
      <c r="AU13">
        <v>21</v>
      </c>
      <c r="AV13" t="s">
        <v>222</v>
      </c>
      <c r="BF13">
        <v>6</v>
      </c>
      <c r="BG13" t="s">
        <v>408</v>
      </c>
      <c r="BR13"/>
      <c r="BS13"/>
      <c r="BT13" s="5"/>
      <c r="BU13" s="5"/>
      <c r="BX13"/>
      <c r="BZ13" s="3"/>
      <c r="CA13" t="s">
        <v>347</v>
      </c>
      <c r="CB13" t="s">
        <v>6</v>
      </c>
    </row>
    <row r="14" spans="1:109" x14ac:dyDescent="0.25">
      <c r="A14" t="s">
        <v>520</v>
      </c>
      <c r="B14" t="s">
        <v>479</v>
      </c>
      <c r="C14">
        <v>0</v>
      </c>
      <c r="AH14" t="s">
        <v>681</v>
      </c>
      <c r="AI14" t="s">
        <v>520</v>
      </c>
      <c r="AJ14" t="s">
        <v>347</v>
      </c>
      <c r="AM14" t="s">
        <v>475</v>
      </c>
      <c r="AN14">
        <v>7</v>
      </c>
      <c r="AO14" t="s">
        <v>289</v>
      </c>
      <c r="AP14">
        <v>7</v>
      </c>
      <c r="AS14">
        <v>7</v>
      </c>
      <c r="AT14">
        <v>21</v>
      </c>
      <c r="AU14">
        <v>28</v>
      </c>
      <c r="AV14" t="s">
        <v>222</v>
      </c>
      <c r="BF14">
        <v>7</v>
      </c>
      <c r="BG14" t="s">
        <v>408</v>
      </c>
      <c r="BR14"/>
      <c r="BS14"/>
      <c r="BT14" s="5"/>
      <c r="BU14" s="5"/>
      <c r="BX14"/>
      <c r="BZ14" s="3"/>
      <c r="CA14" t="s">
        <v>347</v>
      </c>
      <c r="CB14" t="s">
        <v>6</v>
      </c>
    </row>
    <row r="15" spans="1:109" x14ac:dyDescent="0.25">
      <c r="A15" t="s">
        <v>0</v>
      </c>
      <c r="B15" t="s">
        <v>479</v>
      </c>
      <c r="C15">
        <v>1</v>
      </c>
      <c r="D15" s="33">
        <v>43831</v>
      </c>
      <c r="E15" t="s">
        <v>342</v>
      </c>
      <c r="F15" t="s">
        <v>340</v>
      </c>
      <c r="G15" t="s">
        <v>341</v>
      </c>
      <c r="H15" t="s">
        <v>343</v>
      </c>
      <c r="I15" t="s">
        <v>344</v>
      </c>
      <c r="J15" t="s">
        <v>246</v>
      </c>
      <c r="K15" t="s">
        <v>228</v>
      </c>
      <c r="L15" t="s">
        <v>229</v>
      </c>
      <c r="M15" t="s">
        <v>230</v>
      </c>
      <c r="N15" t="s">
        <v>231</v>
      </c>
      <c r="O15" t="s">
        <v>345</v>
      </c>
      <c r="P15" t="s">
        <v>232</v>
      </c>
      <c r="Q15" t="s">
        <v>232</v>
      </c>
      <c r="R15" t="s">
        <v>232</v>
      </c>
      <c r="S15">
        <v>10</v>
      </c>
      <c r="T15" t="s">
        <v>346</v>
      </c>
      <c r="U15">
        <v>45</v>
      </c>
      <c r="V15" t="s">
        <v>299</v>
      </c>
      <c r="W15">
        <v>300</v>
      </c>
      <c r="X15" t="s">
        <v>302</v>
      </c>
      <c r="Y15" t="s">
        <v>250</v>
      </c>
      <c r="Z15" t="s">
        <v>263</v>
      </c>
      <c r="AA15" t="s">
        <v>274</v>
      </c>
      <c r="AB15" t="s">
        <v>282</v>
      </c>
      <c r="AC15" t="s">
        <v>288</v>
      </c>
      <c r="AD15" t="s">
        <v>293</v>
      </c>
      <c r="AE15" t="s">
        <v>297</v>
      </c>
      <c r="AF15" t="s">
        <v>300</v>
      </c>
      <c r="AG15" t="s">
        <v>472</v>
      </c>
      <c r="AH15" t="s">
        <v>447</v>
      </c>
      <c r="AI15" t="s">
        <v>0</v>
      </c>
      <c r="AJ15" t="s">
        <v>347</v>
      </c>
      <c r="AK15" t="s">
        <v>5</v>
      </c>
      <c r="AM15" t="s">
        <v>475</v>
      </c>
      <c r="AN15">
        <v>1</v>
      </c>
      <c r="AO15" t="s">
        <v>192</v>
      </c>
      <c r="AP15" t="s">
        <v>191</v>
      </c>
      <c r="AQ15" t="s">
        <v>315</v>
      </c>
      <c r="AS15">
        <v>5</v>
      </c>
      <c r="AT15">
        <v>0</v>
      </c>
      <c r="AU15">
        <v>5</v>
      </c>
      <c r="AV15" t="s">
        <v>222</v>
      </c>
      <c r="AW15" t="s">
        <v>218</v>
      </c>
      <c r="AX15" t="s">
        <v>463</v>
      </c>
      <c r="AY15" t="s">
        <v>219</v>
      </c>
      <c r="AZ15" t="s">
        <v>220</v>
      </c>
      <c r="BA15" t="s">
        <v>221</v>
      </c>
      <c r="BB15">
        <v>1</v>
      </c>
      <c r="BC15">
        <v>1</v>
      </c>
      <c r="BF15" t="s">
        <v>307</v>
      </c>
      <c r="BG15" t="s">
        <v>408</v>
      </c>
      <c r="BH15">
        <v>1</v>
      </c>
      <c r="BI15" t="s">
        <v>464</v>
      </c>
      <c r="BJ15" t="s">
        <v>464</v>
      </c>
      <c r="BK15" t="s">
        <v>222</v>
      </c>
      <c r="BL15" t="s">
        <v>464</v>
      </c>
      <c r="BR15"/>
      <c r="BS15"/>
      <c r="BT15" s="5"/>
      <c r="BU15" s="5"/>
      <c r="BW15" t="s">
        <v>5</v>
      </c>
      <c r="BX15">
        <v>1</v>
      </c>
      <c r="BY15" t="s">
        <v>8</v>
      </c>
      <c r="BZ15" s="3">
        <v>77</v>
      </c>
      <c r="CA15" t="s">
        <v>347</v>
      </c>
      <c r="CB15" t="s">
        <v>6</v>
      </c>
    </row>
    <row r="16" spans="1:109" x14ac:dyDescent="0.25">
      <c r="A16" t="s">
        <v>0</v>
      </c>
      <c r="B16" t="s">
        <v>479</v>
      </c>
      <c r="C16">
        <v>1</v>
      </c>
      <c r="D16" s="33">
        <v>43831</v>
      </c>
      <c r="E16" t="s">
        <v>342</v>
      </c>
      <c r="F16" t="s">
        <v>340</v>
      </c>
      <c r="G16" t="s">
        <v>341</v>
      </c>
      <c r="H16" t="s">
        <v>343</v>
      </c>
      <c r="I16" t="s">
        <v>344</v>
      </c>
      <c r="J16" t="s">
        <v>246</v>
      </c>
      <c r="K16" t="s">
        <v>228</v>
      </c>
      <c r="L16" t="s">
        <v>229</v>
      </c>
      <c r="M16" t="s">
        <v>230</v>
      </c>
      <c r="N16" t="s">
        <v>231</v>
      </c>
      <c r="O16" t="s">
        <v>345</v>
      </c>
      <c r="P16" t="s">
        <v>232</v>
      </c>
      <c r="Q16" t="s">
        <v>232</v>
      </c>
      <c r="R16" t="s">
        <v>232</v>
      </c>
      <c r="S16">
        <v>10</v>
      </c>
      <c r="T16" t="s">
        <v>346</v>
      </c>
      <c r="U16">
        <v>45</v>
      </c>
      <c r="V16" t="s">
        <v>299</v>
      </c>
      <c r="W16">
        <v>300</v>
      </c>
      <c r="X16" t="s">
        <v>302</v>
      </c>
      <c r="Y16" t="s">
        <v>250</v>
      </c>
      <c r="Z16" t="s">
        <v>263</v>
      </c>
      <c r="AA16" t="s">
        <v>274</v>
      </c>
      <c r="AB16" t="s">
        <v>282</v>
      </c>
      <c r="AC16" t="s">
        <v>288</v>
      </c>
      <c r="AD16" t="s">
        <v>293</v>
      </c>
      <c r="AE16" t="s">
        <v>297</v>
      </c>
      <c r="AF16" t="s">
        <v>300</v>
      </c>
      <c r="AG16" t="s">
        <v>472</v>
      </c>
      <c r="AH16" t="s">
        <v>693</v>
      </c>
      <c r="AI16" t="s">
        <v>0</v>
      </c>
      <c r="AJ16" t="s">
        <v>532</v>
      </c>
      <c r="AM16" t="s">
        <v>475</v>
      </c>
      <c r="AN16">
        <v>8</v>
      </c>
      <c r="AO16" t="s">
        <v>251</v>
      </c>
      <c r="AP16" t="s">
        <v>533</v>
      </c>
      <c r="AS16">
        <v>12</v>
      </c>
      <c r="AT16">
        <v>108.2</v>
      </c>
      <c r="AU16">
        <v>120.2</v>
      </c>
      <c r="AW16" t="s">
        <v>266</v>
      </c>
      <c r="AX16" t="s">
        <v>552</v>
      </c>
      <c r="AY16" t="s">
        <v>267</v>
      </c>
      <c r="AZ16" t="s">
        <v>295</v>
      </c>
      <c r="BA16" t="s">
        <v>256</v>
      </c>
      <c r="BB16">
        <v>8</v>
      </c>
      <c r="BC16">
        <v>8</v>
      </c>
      <c r="BE16" t="s">
        <v>234</v>
      </c>
      <c r="BF16" t="s">
        <v>570</v>
      </c>
      <c r="BG16" t="s">
        <v>308</v>
      </c>
      <c r="BH16">
        <v>8</v>
      </c>
      <c r="BI16" t="s">
        <v>465</v>
      </c>
      <c r="BJ16" t="s">
        <v>465</v>
      </c>
      <c r="BK16" t="s">
        <v>193</v>
      </c>
      <c r="BL16" t="s">
        <v>465</v>
      </c>
      <c r="BR16"/>
      <c r="BS16"/>
      <c r="BT16" s="5"/>
      <c r="BU16" s="5"/>
      <c r="BX16"/>
      <c r="BZ16" s="3"/>
      <c r="CA16" t="s">
        <v>532</v>
      </c>
      <c r="CB16" t="s">
        <v>6</v>
      </c>
      <c r="CD16" t="s">
        <v>6</v>
      </c>
      <c r="CF16" t="s">
        <v>226</v>
      </c>
      <c r="CH16" t="s">
        <v>659</v>
      </c>
      <c r="CI16" t="s">
        <v>659</v>
      </c>
      <c r="CJ16" t="s">
        <v>659</v>
      </c>
      <c r="CK16" t="s">
        <v>659</v>
      </c>
      <c r="CL16" t="s">
        <v>659</v>
      </c>
      <c r="CM16" t="s">
        <v>659</v>
      </c>
      <c r="CN16" t="s">
        <v>659</v>
      </c>
      <c r="CO16" t="s">
        <v>659</v>
      </c>
      <c r="CQ16" t="s">
        <v>659</v>
      </c>
      <c r="CR16" t="s">
        <v>659</v>
      </c>
      <c r="CS16" t="s">
        <v>285</v>
      </c>
      <c r="CT16" t="s">
        <v>285</v>
      </c>
      <c r="CV16" t="s">
        <v>764</v>
      </c>
      <c r="CW16" t="s">
        <v>755</v>
      </c>
      <c r="CX16" t="s">
        <v>241</v>
      </c>
      <c r="CY16" t="s">
        <v>258</v>
      </c>
      <c r="CZ16" t="s">
        <v>731</v>
      </c>
      <c r="DA16" t="s">
        <v>729</v>
      </c>
      <c r="DB16" t="s">
        <v>7</v>
      </c>
      <c r="DC16" t="s">
        <v>659</v>
      </c>
      <c r="DE16" t="s">
        <v>7</v>
      </c>
    </row>
    <row r="17" spans="1:109" x14ac:dyDescent="0.25">
      <c r="A17" t="s">
        <v>0</v>
      </c>
      <c r="B17" t="s">
        <v>479</v>
      </c>
      <c r="C17">
        <v>1</v>
      </c>
      <c r="D17" s="33">
        <v>43831</v>
      </c>
      <c r="E17" t="s">
        <v>342</v>
      </c>
      <c r="F17" t="s">
        <v>340</v>
      </c>
      <c r="G17" t="s">
        <v>341</v>
      </c>
      <c r="H17" t="s">
        <v>343</v>
      </c>
      <c r="I17" t="s">
        <v>344</v>
      </c>
      <c r="J17" t="s">
        <v>246</v>
      </c>
      <c r="K17" t="s">
        <v>228</v>
      </c>
      <c r="L17" t="s">
        <v>229</v>
      </c>
      <c r="M17" t="s">
        <v>230</v>
      </c>
      <c r="N17" t="s">
        <v>231</v>
      </c>
      <c r="O17" t="s">
        <v>345</v>
      </c>
      <c r="P17" t="s">
        <v>232</v>
      </c>
      <c r="Q17" t="s">
        <v>232</v>
      </c>
      <c r="R17" t="s">
        <v>232</v>
      </c>
      <c r="S17">
        <v>10</v>
      </c>
      <c r="T17" t="s">
        <v>346</v>
      </c>
      <c r="U17">
        <v>45</v>
      </c>
      <c r="V17" t="s">
        <v>299</v>
      </c>
      <c r="W17">
        <v>300</v>
      </c>
      <c r="X17" t="s">
        <v>302</v>
      </c>
      <c r="Y17" t="s">
        <v>250</v>
      </c>
      <c r="Z17" t="s">
        <v>263</v>
      </c>
      <c r="AA17" t="s">
        <v>274</v>
      </c>
      <c r="AB17" t="s">
        <v>282</v>
      </c>
      <c r="AC17" t="s">
        <v>288</v>
      </c>
      <c r="AD17" t="s">
        <v>293</v>
      </c>
      <c r="AE17" t="s">
        <v>297</v>
      </c>
      <c r="AF17" t="s">
        <v>300</v>
      </c>
      <c r="AG17" t="s">
        <v>472</v>
      </c>
      <c r="AH17" t="s">
        <v>698</v>
      </c>
      <c r="AI17" t="s">
        <v>0</v>
      </c>
      <c r="AJ17" t="s">
        <v>524</v>
      </c>
      <c r="AL17" t="s">
        <v>4</v>
      </c>
      <c r="AM17" t="s">
        <v>475</v>
      </c>
      <c r="AN17">
        <v>4</v>
      </c>
      <c r="AO17" t="s">
        <v>233</v>
      </c>
      <c r="AP17" t="s">
        <v>525</v>
      </c>
      <c r="AQ17" t="s">
        <v>315</v>
      </c>
      <c r="AS17">
        <v>3</v>
      </c>
      <c r="AT17">
        <v>12.2</v>
      </c>
      <c r="AU17">
        <v>15.2</v>
      </c>
      <c r="AW17" t="s">
        <v>266</v>
      </c>
      <c r="AX17" t="s">
        <v>552</v>
      </c>
      <c r="AY17" t="s">
        <v>267</v>
      </c>
      <c r="AZ17" t="s">
        <v>268</v>
      </c>
      <c r="BA17" t="s">
        <v>269</v>
      </c>
      <c r="BB17">
        <v>4</v>
      </c>
      <c r="BC17">
        <v>4</v>
      </c>
      <c r="BE17" t="s">
        <v>265</v>
      </c>
      <c r="BF17" t="s">
        <v>525</v>
      </c>
      <c r="BG17" t="s">
        <v>308</v>
      </c>
      <c r="BH17">
        <v>4</v>
      </c>
      <c r="BI17" t="s">
        <v>464</v>
      </c>
      <c r="BJ17" t="s">
        <v>464</v>
      </c>
      <c r="BK17" t="s">
        <v>193</v>
      </c>
      <c r="BL17" t="s">
        <v>464</v>
      </c>
      <c r="BM17" t="s">
        <v>4</v>
      </c>
      <c r="BN17">
        <v>1</v>
      </c>
      <c r="BO17">
        <v>0.42</v>
      </c>
      <c r="BP17">
        <v>0.39</v>
      </c>
      <c r="BQ17">
        <v>0.39</v>
      </c>
      <c r="BR17">
        <v>0.4</v>
      </c>
      <c r="BS17">
        <v>56.3</v>
      </c>
      <c r="BT17" s="5">
        <v>48</v>
      </c>
      <c r="BU17" s="5">
        <v>87</v>
      </c>
      <c r="BV17">
        <v>120</v>
      </c>
      <c r="BX17"/>
      <c r="BZ17" s="3"/>
      <c r="CA17" t="s">
        <v>524</v>
      </c>
      <c r="CB17" t="s">
        <v>412</v>
      </c>
      <c r="CD17" t="s">
        <v>437</v>
      </c>
      <c r="CE17" t="s">
        <v>226</v>
      </c>
      <c r="CH17" t="s">
        <v>639</v>
      </c>
      <c r="CI17" t="s">
        <v>639</v>
      </c>
      <c r="CJ17" t="s">
        <v>639</v>
      </c>
      <c r="CK17" t="s">
        <v>639</v>
      </c>
      <c r="CL17" t="s">
        <v>639</v>
      </c>
      <c r="CM17" t="s">
        <v>639</v>
      </c>
      <c r="CN17" t="s">
        <v>639</v>
      </c>
      <c r="CO17" t="s">
        <v>639</v>
      </c>
      <c r="CP17" t="s">
        <v>409</v>
      </c>
      <c r="CQ17" t="s">
        <v>639</v>
      </c>
      <c r="CR17" t="s">
        <v>639</v>
      </c>
      <c r="CS17" t="s">
        <v>240</v>
      </c>
      <c r="CT17" t="s">
        <v>240</v>
      </c>
      <c r="CU17" t="s">
        <v>7</v>
      </c>
      <c r="CV17" t="s">
        <v>751</v>
      </c>
      <c r="CW17" t="s">
        <v>746</v>
      </c>
      <c r="CX17" t="s">
        <v>241</v>
      </c>
      <c r="CY17" t="s">
        <v>258</v>
      </c>
      <c r="CZ17" t="s">
        <v>729</v>
      </c>
      <c r="DA17" t="s">
        <v>225</v>
      </c>
      <c r="DB17" t="s">
        <v>241</v>
      </c>
      <c r="DC17" t="s">
        <v>639</v>
      </c>
    </row>
    <row r="18" spans="1:109" x14ac:dyDescent="0.25">
      <c r="A18" t="s">
        <v>0</v>
      </c>
      <c r="B18" t="s">
        <v>479</v>
      </c>
      <c r="C18">
        <v>1</v>
      </c>
      <c r="D18" s="33">
        <v>43831</v>
      </c>
      <c r="E18" t="s">
        <v>342</v>
      </c>
      <c r="F18" t="s">
        <v>340</v>
      </c>
      <c r="G18" t="s">
        <v>341</v>
      </c>
      <c r="H18" t="s">
        <v>343</v>
      </c>
      <c r="I18" t="s">
        <v>344</v>
      </c>
      <c r="J18" t="s">
        <v>246</v>
      </c>
      <c r="K18" t="s">
        <v>228</v>
      </c>
      <c r="L18" t="s">
        <v>229</v>
      </c>
      <c r="M18" t="s">
        <v>230</v>
      </c>
      <c r="N18" t="s">
        <v>231</v>
      </c>
      <c r="O18" t="s">
        <v>345</v>
      </c>
      <c r="P18" t="s">
        <v>232</v>
      </c>
      <c r="Q18" t="s">
        <v>232</v>
      </c>
      <c r="R18" t="s">
        <v>232</v>
      </c>
      <c r="S18">
        <v>10</v>
      </c>
      <c r="T18" t="s">
        <v>346</v>
      </c>
      <c r="U18">
        <v>45</v>
      </c>
      <c r="V18" t="s">
        <v>299</v>
      </c>
      <c r="W18">
        <v>300</v>
      </c>
      <c r="X18" t="s">
        <v>302</v>
      </c>
      <c r="Y18" t="s">
        <v>250</v>
      </c>
      <c r="Z18" t="s">
        <v>263</v>
      </c>
      <c r="AA18" t="s">
        <v>274</v>
      </c>
      <c r="AB18" t="s">
        <v>282</v>
      </c>
      <c r="AC18" t="s">
        <v>288</v>
      </c>
      <c r="AD18" t="s">
        <v>293</v>
      </c>
      <c r="AE18" t="s">
        <v>297</v>
      </c>
      <c r="AF18" t="s">
        <v>300</v>
      </c>
      <c r="AG18" t="s">
        <v>472</v>
      </c>
      <c r="AH18" t="s">
        <v>694</v>
      </c>
      <c r="AI18" t="s">
        <v>0</v>
      </c>
      <c r="AJ18" t="s">
        <v>529</v>
      </c>
      <c r="AM18" t="s">
        <v>475</v>
      </c>
      <c r="AN18">
        <v>6</v>
      </c>
      <c r="AO18" t="s">
        <v>251</v>
      </c>
      <c r="AP18" t="s">
        <v>530</v>
      </c>
      <c r="AS18">
        <v>78</v>
      </c>
      <c r="AT18">
        <v>21.200000000000003</v>
      </c>
      <c r="AU18">
        <v>99.2</v>
      </c>
      <c r="AW18" t="s">
        <v>235</v>
      </c>
      <c r="AX18" t="s">
        <v>448</v>
      </c>
      <c r="AY18" t="s">
        <v>236</v>
      </c>
      <c r="AZ18" t="s">
        <v>284</v>
      </c>
      <c r="BA18" t="s">
        <v>221</v>
      </c>
      <c r="BB18">
        <v>6</v>
      </c>
      <c r="BC18">
        <v>6</v>
      </c>
      <c r="BE18" t="s">
        <v>252</v>
      </c>
      <c r="BF18" t="s">
        <v>570</v>
      </c>
      <c r="BG18" t="s">
        <v>308</v>
      </c>
      <c r="BH18">
        <v>6</v>
      </c>
      <c r="BI18" t="s">
        <v>562</v>
      </c>
      <c r="BJ18" t="s">
        <v>562</v>
      </c>
      <c r="BK18" t="s">
        <v>193</v>
      </c>
      <c r="BL18" t="s">
        <v>562</v>
      </c>
      <c r="BR18"/>
      <c r="BS18"/>
      <c r="BT18" s="5"/>
      <c r="BU18" s="5"/>
      <c r="BX18"/>
      <c r="BZ18" s="3"/>
      <c r="CA18" t="s">
        <v>529</v>
      </c>
      <c r="CB18" t="s">
        <v>6</v>
      </c>
      <c r="CC18" t="s">
        <v>178</v>
      </c>
      <c r="CD18" t="s">
        <v>6</v>
      </c>
      <c r="CE18" t="s">
        <v>244</v>
      </c>
      <c r="CH18" t="s">
        <v>647</v>
      </c>
      <c r="CI18" t="s">
        <v>647</v>
      </c>
      <c r="CJ18" t="s">
        <v>647</v>
      </c>
      <c r="CK18" t="s">
        <v>647</v>
      </c>
      <c r="CL18" t="s">
        <v>647</v>
      </c>
      <c r="CM18" t="s">
        <v>647</v>
      </c>
      <c r="CN18" t="s">
        <v>647</v>
      </c>
      <c r="CO18" t="s">
        <v>647</v>
      </c>
      <c r="CP18" t="s">
        <v>409</v>
      </c>
      <c r="CQ18" t="s">
        <v>647</v>
      </c>
      <c r="CR18" t="s">
        <v>647</v>
      </c>
      <c r="CS18" t="s">
        <v>270</v>
      </c>
      <c r="CT18" t="s">
        <v>270</v>
      </c>
      <c r="CV18" t="s">
        <v>762</v>
      </c>
      <c r="CW18" t="s">
        <v>753</v>
      </c>
      <c r="CX18" t="s">
        <v>241</v>
      </c>
      <c r="CY18" t="s">
        <v>224</v>
      </c>
      <c r="CZ18" t="s">
        <v>731</v>
      </c>
      <c r="DA18" t="s">
        <v>730</v>
      </c>
      <c r="DB18" t="s">
        <v>241</v>
      </c>
      <c r="DC18" t="s">
        <v>647</v>
      </c>
    </row>
    <row r="19" spans="1:109" x14ac:dyDescent="0.25">
      <c r="A19" t="s">
        <v>0</v>
      </c>
      <c r="B19" t="s">
        <v>479</v>
      </c>
      <c r="C19">
        <v>1</v>
      </c>
      <c r="D19" s="33">
        <v>43831</v>
      </c>
      <c r="E19" t="s">
        <v>342</v>
      </c>
      <c r="F19" t="s">
        <v>340</v>
      </c>
      <c r="G19" t="s">
        <v>341</v>
      </c>
      <c r="H19" t="s">
        <v>343</v>
      </c>
      <c r="I19" t="s">
        <v>344</v>
      </c>
      <c r="J19" t="s">
        <v>246</v>
      </c>
      <c r="K19" t="s">
        <v>228</v>
      </c>
      <c r="L19" t="s">
        <v>229</v>
      </c>
      <c r="M19" t="s">
        <v>230</v>
      </c>
      <c r="N19" t="s">
        <v>231</v>
      </c>
      <c r="O19" t="s">
        <v>345</v>
      </c>
      <c r="P19" t="s">
        <v>232</v>
      </c>
      <c r="Q19" t="s">
        <v>232</v>
      </c>
      <c r="R19" t="s">
        <v>232</v>
      </c>
      <c r="S19">
        <v>10</v>
      </c>
      <c r="T19" t="s">
        <v>346</v>
      </c>
      <c r="U19">
        <v>45</v>
      </c>
      <c r="V19" t="s">
        <v>299</v>
      </c>
      <c r="W19">
        <v>300</v>
      </c>
      <c r="X19" t="s">
        <v>302</v>
      </c>
      <c r="Y19" t="s">
        <v>250</v>
      </c>
      <c r="Z19" t="s">
        <v>263</v>
      </c>
      <c r="AA19" t="s">
        <v>274</v>
      </c>
      <c r="AB19" t="s">
        <v>282</v>
      </c>
      <c r="AC19" t="s">
        <v>288</v>
      </c>
      <c r="AD19" t="s">
        <v>293</v>
      </c>
      <c r="AE19" t="s">
        <v>297</v>
      </c>
      <c r="AF19" t="s">
        <v>300</v>
      </c>
      <c r="AG19" t="s">
        <v>472</v>
      </c>
      <c r="AH19" t="s">
        <v>692</v>
      </c>
      <c r="AI19" t="s">
        <v>0</v>
      </c>
      <c r="AJ19" t="s">
        <v>526</v>
      </c>
      <c r="AM19" t="s">
        <v>475</v>
      </c>
      <c r="AN19">
        <v>5</v>
      </c>
      <c r="AO19" t="s">
        <v>233</v>
      </c>
      <c r="AP19" t="s">
        <v>527</v>
      </c>
      <c r="AQ19" t="s">
        <v>528</v>
      </c>
      <c r="AS19">
        <v>6</v>
      </c>
      <c r="AT19">
        <v>15.2</v>
      </c>
      <c r="AU19">
        <v>21.2</v>
      </c>
      <c r="AX19" t="s">
        <v>463</v>
      </c>
      <c r="AY19" t="s">
        <v>219</v>
      </c>
      <c r="AZ19" t="s">
        <v>277</v>
      </c>
      <c r="BA19" t="s">
        <v>278</v>
      </c>
      <c r="BB19">
        <v>5</v>
      </c>
      <c r="BC19">
        <v>5</v>
      </c>
      <c r="BE19" t="s">
        <v>276</v>
      </c>
      <c r="BF19" t="s">
        <v>527</v>
      </c>
      <c r="BG19" t="s">
        <v>308</v>
      </c>
      <c r="BH19">
        <v>5</v>
      </c>
      <c r="BI19" t="s">
        <v>465</v>
      </c>
      <c r="BJ19" t="s">
        <v>465</v>
      </c>
      <c r="BK19" t="s">
        <v>222</v>
      </c>
      <c r="BL19" t="s">
        <v>465</v>
      </c>
      <c r="BR19"/>
      <c r="BS19"/>
      <c r="BT19" s="5"/>
      <c r="BU19" s="5"/>
      <c r="BX19"/>
      <c r="BZ19" s="3"/>
      <c r="CA19" t="s">
        <v>526</v>
      </c>
      <c r="CB19" t="s">
        <v>437</v>
      </c>
      <c r="CD19" t="s">
        <v>239</v>
      </c>
      <c r="CE19" t="s">
        <v>226</v>
      </c>
      <c r="CF19" t="s">
        <v>226</v>
      </c>
      <c r="CH19" t="s">
        <v>641</v>
      </c>
      <c r="CI19" t="s">
        <v>641</v>
      </c>
      <c r="CJ19" t="s">
        <v>641</v>
      </c>
      <c r="CK19" t="s">
        <v>641</v>
      </c>
      <c r="CL19" t="s">
        <v>641</v>
      </c>
      <c r="CM19" t="s">
        <v>641</v>
      </c>
      <c r="CN19" t="s">
        <v>641</v>
      </c>
      <c r="CO19" t="s">
        <v>641</v>
      </c>
      <c r="CP19" t="s">
        <v>408</v>
      </c>
      <c r="CQ19" t="s">
        <v>641</v>
      </c>
      <c r="CR19" t="s">
        <v>641</v>
      </c>
      <c r="CS19" t="s">
        <v>257</v>
      </c>
      <c r="CT19" t="s">
        <v>257</v>
      </c>
      <c r="CU19" t="s">
        <v>241</v>
      </c>
      <c r="CV19" t="s">
        <v>761</v>
      </c>
      <c r="CW19" t="s">
        <v>752</v>
      </c>
      <c r="CX19" t="s">
        <v>7</v>
      </c>
      <c r="CY19" t="s">
        <v>242</v>
      </c>
      <c r="CZ19" t="s">
        <v>730</v>
      </c>
      <c r="DB19" t="s">
        <v>7</v>
      </c>
      <c r="DC19" t="s">
        <v>641</v>
      </c>
    </row>
    <row r="20" spans="1:109" x14ac:dyDescent="0.25">
      <c r="A20" t="s">
        <v>0</v>
      </c>
      <c r="B20" t="s">
        <v>479</v>
      </c>
      <c r="C20">
        <v>1</v>
      </c>
      <c r="D20" s="33">
        <v>43831</v>
      </c>
      <c r="E20" t="s">
        <v>342</v>
      </c>
      <c r="F20" t="s">
        <v>340</v>
      </c>
      <c r="G20" t="s">
        <v>341</v>
      </c>
      <c r="H20" t="s">
        <v>343</v>
      </c>
      <c r="I20" t="s">
        <v>344</v>
      </c>
      <c r="J20" t="s">
        <v>246</v>
      </c>
      <c r="K20" t="s">
        <v>228</v>
      </c>
      <c r="L20" t="s">
        <v>229</v>
      </c>
      <c r="M20" t="s">
        <v>230</v>
      </c>
      <c r="N20" t="s">
        <v>231</v>
      </c>
      <c r="O20" t="s">
        <v>345</v>
      </c>
      <c r="P20" t="s">
        <v>232</v>
      </c>
      <c r="Q20" t="s">
        <v>232</v>
      </c>
      <c r="R20" t="s">
        <v>232</v>
      </c>
      <c r="S20">
        <v>10</v>
      </c>
      <c r="T20" t="s">
        <v>346</v>
      </c>
      <c r="U20">
        <v>45</v>
      </c>
      <c r="V20" t="s">
        <v>299</v>
      </c>
      <c r="W20">
        <v>300</v>
      </c>
      <c r="X20" t="s">
        <v>302</v>
      </c>
      <c r="Y20" t="s">
        <v>250</v>
      </c>
      <c r="Z20" t="s">
        <v>263</v>
      </c>
      <c r="AA20" t="s">
        <v>274</v>
      </c>
      <c r="AB20" t="s">
        <v>282</v>
      </c>
      <c r="AC20" t="s">
        <v>288</v>
      </c>
      <c r="AD20" t="s">
        <v>293</v>
      </c>
      <c r="AE20" t="s">
        <v>297</v>
      </c>
      <c r="AF20" t="s">
        <v>300</v>
      </c>
      <c r="AG20" t="s">
        <v>472</v>
      </c>
      <c r="AH20" t="s">
        <v>696</v>
      </c>
      <c r="AI20" t="s">
        <v>0</v>
      </c>
      <c r="AJ20" t="s">
        <v>531</v>
      </c>
      <c r="AM20" t="s">
        <v>475</v>
      </c>
      <c r="AN20">
        <v>7</v>
      </c>
      <c r="AO20" t="s">
        <v>251</v>
      </c>
      <c r="AP20" t="s">
        <v>530</v>
      </c>
      <c r="AS20">
        <v>9</v>
      </c>
      <c r="AT20">
        <v>99.2</v>
      </c>
      <c r="AU20">
        <v>108.2</v>
      </c>
      <c r="AW20" t="s">
        <v>253</v>
      </c>
      <c r="AX20" t="s">
        <v>551</v>
      </c>
      <c r="AY20" t="s">
        <v>254</v>
      </c>
      <c r="AZ20" t="s">
        <v>290</v>
      </c>
      <c r="BA20" t="s">
        <v>238</v>
      </c>
      <c r="BB20">
        <v>7</v>
      </c>
      <c r="BC20">
        <v>7</v>
      </c>
      <c r="BE20" t="s">
        <v>217</v>
      </c>
      <c r="BF20" t="s">
        <v>570</v>
      </c>
      <c r="BG20" t="s">
        <v>308</v>
      </c>
      <c r="BH20">
        <v>7</v>
      </c>
      <c r="BI20" t="s">
        <v>464</v>
      </c>
      <c r="BJ20" t="s">
        <v>464</v>
      </c>
      <c r="BK20" t="s">
        <v>222</v>
      </c>
      <c r="BL20" t="s">
        <v>464</v>
      </c>
      <c r="BR20"/>
      <c r="BS20"/>
      <c r="BT20" s="5"/>
      <c r="BU20" s="5"/>
      <c r="BX20"/>
      <c r="BZ20" s="3"/>
      <c r="CA20" t="s">
        <v>531</v>
      </c>
      <c r="CB20" t="s">
        <v>6</v>
      </c>
      <c r="CC20" t="s">
        <v>116</v>
      </c>
      <c r="CD20" t="s">
        <v>6</v>
      </c>
      <c r="CE20" t="s">
        <v>244</v>
      </c>
      <c r="CF20" t="s">
        <v>226</v>
      </c>
      <c r="CG20" t="s">
        <v>483</v>
      </c>
      <c r="CH20" t="s">
        <v>651</v>
      </c>
      <c r="CI20" t="s">
        <v>651</v>
      </c>
      <c r="CJ20" t="s">
        <v>651</v>
      </c>
      <c r="CK20" t="s">
        <v>651</v>
      </c>
      <c r="CL20" t="s">
        <v>651</v>
      </c>
      <c r="CM20" t="s">
        <v>651</v>
      </c>
      <c r="CN20" t="s">
        <v>651</v>
      </c>
      <c r="CO20" t="s">
        <v>651</v>
      </c>
      <c r="CP20" t="s">
        <v>408</v>
      </c>
      <c r="CQ20" t="s">
        <v>651</v>
      </c>
      <c r="CR20" t="s">
        <v>651</v>
      </c>
      <c r="CS20" t="s">
        <v>279</v>
      </c>
      <c r="CT20" t="s">
        <v>279</v>
      </c>
      <c r="CU20" t="s">
        <v>241</v>
      </c>
      <c r="CV20" t="s">
        <v>763</v>
      </c>
      <c r="CW20" t="s">
        <v>754</v>
      </c>
      <c r="CX20" t="s">
        <v>7</v>
      </c>
      <c r="CY20" t="s">
        <v>242</v>
      </c>
      <c r="CZ20" t="s">
        <v>732</v>
      </c>
      <c r="DA20" t="s">
        <v>729</v>
      </c>
      <c r="DB20" t="s">
        <v>241</v>
      </c>
      <c r="DC20" t="s">
        <v>651</v>
      </c>
      <c r="DE20" t="s">
        <v>241</v>
      </c>
    </row>
    <row r="21" spans="1:109" x14ac:dyDescent="0.25">
      <c r="A21" t="s">
        <v>0</v>
      </c>
      <c r="B21" t="s">
        <v>479</v>
      </c>
      <c r="C21">
        <v>1</v>
      </c>
      <c r="D21" s="33">
        <v>43831</v>
      </c>
      <c r="E21" t="s">
        <v>342</v>
      </c>
      <c r="F21" t="s">
        <v>340</v>
      </c>
      <c r="G21" t="s">
        <v>341</v>
      </c>
      <c r="H21" t="s">
        <v>343</v>
      </c>
      <c r="I21" t="s">
        <v>344</v>
      </c>
      <c r="J21" t="s">
        <v>246</v>
      </c>
      <c r="K21" t="s">
        <v>228</v>
      </c>
      <c r="L21" t="s">
        <v>229</v>
      </c>
      <c r="M21" t="s">
        <v>230</v>
      </c>
      <c r="N21" t="s">
        <v>231</v>
      </c>
      <c r="O21" t="s">
        <v>345</v>
      </c>
      <c r="P21" t="s">
        <v>232</v>
      </c>
      <c r="Q21" t="s">
        <v>232</v>
      </c>
      <c r="R21" t="s">
        <v>232</v>
      </c>
      <c r="S21">
        <v>10</v>
      </c>
      <c r="T21" t="s">
        <v>346</v>
      </c>
      <c r="U21">
        <v>45</v>
      </c>
      <c r="V21" t="s">
        <v>299</v>
      </c>
      <c r="W21">
        <v>300</v>
      </c>
      <c r="X21" t="s">
        <v>302</v>
      </c>
      <c r="Y21" t="s">
        <v>250</v>
      </c>
      <c r="Z21" t="s">
        <v>263</v>
      </c>
      <c r="AA21" t="s">
        <v>274</v>
      </c>
      <c r="AB21" t="s">
        <v>282</v>
      </c>
      <c r="AC21" t="s">
        <v>288</v>
      </c>
      <c r="AD21" t="s">
        <v>293</v>
      </c>
      <c r="AE21" t="s">
        <v>297</v>
      </c>
      <c r="AF21" t="s">
        <v>300</v>
      </c>
      <c r="AG21" t="s">
        <v>472</v>
      </c>
      <c r="AH21" t="s">
        <v>695</v>
      </c>
      <c r="AI21" t="s">
        <v>0</v>
      </c>
      <c r="AJ21" t="s">
        <v>534</v>
      </c>
      <c r="AM21" t="s">
        <v>475</v>
      </c>
      <c r="AN21">
        <v>9</v>
      </c>
      <c r="AO21" t="s">
        <v>251</v>
      </c>
      <c r="AP21" t="s">
        <v>535</v>
      </c>
      <c r="AS21">
        <v>15</v>
      </c>
      <c r="AT21">
        <v>120.19999999999999</v>
      </c>
      <c r="AU21">
        <v>135.19999999999999</v>
      </c>
      <c r="AW21" t="s">
        <v>218</v>
      </c>
      <c r="AX21" t="s">
        <v>463</v>
      </c>
      <c r="AY21" t="s">
        <v>219</v>
      </c>
      <c r="AZ21" t="s">
        <v>220</v>
      </c>
      <c r="BA21" t="s">
        <v>269</v>
      </c>
      <c r="BB21">
        <v>9</v>
      </c>
      <c r="BC21">
        <v>9</v>
      </c>
      <c r="BE21" t="s">
        <v>234</v>
      </c>
      <c r="BF21" t="s">
        <v>570</v>
      </c>
      <c r="BG21" t="s">
        <v>308</v>
      </c>
      <c r="BH21">
        <v>9</v>
      </c>
      <c r="BI21" t="s">
        <v>562</v>
      </c>
      <c r="BJ21" t="s">
        <v>562</v>
      </c>
      <c r="BK21" t="s">
        <v>222</v>
      </c>
      <c r="BL21" t="s">
        <v>562</v>
      </c>
      <c r="BR21"/>
      <c r="BS21"/>
      <c r="BT21" s="5"/>
      <c r="BU21" s="5"/>
      <c r="BX21"/>
      <c r="BZ21" s="3"/>
      <c r="CA21" t="s">
        <v>534</v>
      </c>
      <c r="CB21" t="s">
        <v>412</v>
      </c>
      <c r="CD21" t="s">
        <v>6</v>
      </c>
      <c r="CH21" t="s">
        <v>661</v>
      </c>
      <c r="CI21" t="s">
        <v>661</v>
      </c>
      <c r="CJ21" t="s">
        <v>661</v>
      </c>
      <c r="CK21" t="s">
        <v>661</v>
      </c>
      <c r="CL21" t="s">
        <v>661</v>
      </c>
      <c r="CM21" t="s">
        <v>661</v>
      </c>
      <c r="CN21" t="s">
        <v>661</v>
      </c>
      <c r="CO21" t="s">
        <v>661</v>
      </c>
      <c r="CQ21" t="s">
        <v>661</v>
      </c>
      <c r="CR21" t="s">
        <v>661</v>
      </c>
      <c r="CS21" t="s">
        <v>279</v>
      </c>
      <c r="CT21" t="s">
        <v>279</v>
      </c>
      <c r="CU21" t="s">
        <v>7</v>
      </c>
      <c r="CV21" t="s">
        <v>765</v>
      </c>
      <c r="CW21" t="s">
        <v>756</v>
      </c>
      <c r="CX21" t="s">
        <v>7</v>
      </c>
      <c r="CY21" t="s">
        <v>271</v>
      </c>
      <c r="CZ21" t="s">
        <v>730</v>
      </c>
      <c r="DA21" t="s">
        <v>730</v>
      </c>
      <c r="DC21" t="s">
        <v>661</v>
      </c>
    </row>
    <row r="22" spans="1:109" x14ac:dyDescent="0.25">
      <c r="A22" t="s">
        <v>0</v>
      </c>
      <c r="B22" t="s">
        <v>479</v>
      </c>
      <c r="C22">
        <v>1</v>
      </c>
      <c r="D22" s="33">
        <v>43831</v>
      </c>
      <c r="E22" t="s">
        <v>342</v>
      </c>
      <c r="F22" t="s">
        <v>340</v>
      </c>
      <c r="G22" t="s">
        <v>341</v>
      </c>
      <c r="H22" t="s">
        <v>343</v>
      </c>
      <c r="I22" t="s">
        <v>344</v>
      </c>
      <c r="J22" t="s">
        <v>246</v>
      </c>
      <c r="K22" t="s">
        <v>228</v>
      </c>
      <c r="L22" t="s">
        <v>229</v>
      </c>
      <c r="M22" t="s">
        <v>230</v>
      </c>
      <c r="N22" t="s">
        <v>231</v>
      </c>
      <c r="O22" t="s">
        <v>345</v>
      </c>
      <c r="P22" t="s">
        <v>232</v>
      </c>
      <c r="Q22" t="s">
        <v>232</v>
      </c>
      <c r="R22" t="s">
        <v>232</v>
      </c>
      <c r="S22">
        <v>10</v>
      </c>
      <c r="T22" t="s">
        <v>346</v>
      </c>
      <c r="U22">
        <v>45</v>
      </c>
      <c r="V22" t="s">
        <v>299</v>
      </c>
      <c r="W22">
        <v>300</v>
      </c>
      <c r="X22" t="s">
        <v>302</v>
      </c>
      <c r="Y22" t="s">
        <v>250</v>
      </c>
      <c r="Z22" t="s">
        <v>263</v>
      </c>
      <c r="AA22" t="s">
        <v>274</v>
      </c>
      <c r="AB22" t="s">
        <v>282</v>
      </c>
      <c r="AC22" t="s">
        <v>288</v>
      </c>
      <c r="AD22" t="s">
        <v>293</v>
      </c>
      <c r="AE22" t="s">
        <v>297</v>
      </c>
      <c r="AF22" t="s">
        <v>300</v>
      </c>
      <c r="AG22" t="s">
        <v>472</v>
      </c>
      <c r="AH22" t="s">
        <v>697</v>
      </c>
      <c r="AI22" t="s">
        <v>0</v>
      </c>
      <c r="AJ22" t="s">
        <v>347</v>
      </c>
      <c r="AK22" t="s">
        <v>522</v>
      </c>
      <c r="AM22" t="s">
        <v>475</v>
      </c>
      <c r="AN22">
        <v>3</v>
      </c>
      <c r="AO22" t="s">
        <v>192</v>
      </c>
      <c r="AP22" t="s">
        <v>523</v>
      </c>
      <c r="AQ22" t="s">
        <v>348</v>
      </c>
      <c r="AS22">
        <v>4.2</v>
      </c>
      <c r="AT22">
        <v>7.9999999999999991</v>
      </c>
      <c r="AU22">
        <v>12.2</v>
      </c>
      <c r="AV22" t="s">
        <v>193</v>
      </c>
      <c r="AW22" t="s">
        <v>253</v>
      </c>
      <c r="AX22" t="s">
        <v>551</v>
      </c>
      <c r="AY22" t="s">
        <v>254</v>
      </c>
      <c r="AZ22" t="s">
        <v>255</v>
      </c>
      <c r="BA22" t="s">
        <v>256</v>
      </c>
      <c r="BB22">
        <v>3</v>
      </c>
      <c r="BC22">
        <v>3</v>
      </c>
      <c r="BF22" t="s">
        <v>456</v>
      </c>
      <c r="BG22" t="s">
        <v>308</v>
      </c>
      <c r="BH22">
        <v>3</v>
      </c>
      <c r="BI22" t="s">
        <v>562</v>
      </c>
      <c r="BJ22" t="s">
        <v>562</v>
      </c>
      <c r="BK22" t="s">
        <v>222</v>
      </c>
      <c r="BL22" t="s">
        <v>562</v>
      </c>
      <c r="BR22"/>
      <c r="BS22"/>
      <c r="BT22" s="5"/>
      <c r="BU22" s="5"/>
      <c r="BW22" t="s">
        <v>522</v>
      </c>
      <c r="BX22">
        <v>3</v>
      </c>
      <c r="BY22" t="s">
        <v>8</v>
      </c>
      <c r="BZ22" s="3">
        <v>5</v>
      </c>
      <c r="CA22" t="s">
        <v>347</v>
      </c>
      <c r="CB22" t="s">
        <v>6</v>
      </c>
    </row>
    <row r="23" spans="1:109" x14ac:dyDescent="0.25">
      <c r="A23" t="s">
        <v>0</v>
      </c>
      <c r="B23" t="s">
        <v>479</v>
      </c>
      <c r="C23">
        <v>1</v>
      </c>
      <c r="D23" s="33">
        <v>43831</v>
      </c>
      <c r="E23" t="s">
        <v>342</v>
      </c>
      <c r="F23" t="s">
        <v>340</v>
      </c>
      <c r="G23" t="s">
        <v>341</v>
      </c>
      <c r="H23" t="s">
        <v>343</v>
      </c>
      <c r="I23" t="s">
        <v>344</v>
      </c>
      <c r="J23" t="s">
        <v>246</v>
      </c>
      <c r="K23" t="s">
        <v>228</v>
      </c>
      <c r="L23" t="s">
        <v>229</v>
      </c>
      <c r="M23" t="s">
        <v>230</v>
      </c>
      <c r="N23" t="s">
        <v>231</v>
      </c>
      <c r="O23" t="s">
        <v>345</v>
      </c>
      <c r="P23" t="s">
        <v>232</v>
      </c>
      <c r="Q23" t="s">
        <v>232</v>
      </c>
      <c r="R23" t="s">
        <v>232</v>
      </c>
      <c r="S23">
        <v>10</v>
      </c>
      <c r="T23" t="s">
        <v>346</v>
      </c>
      <c r="U23">
        <v>45</v>
      </c>
      <c r="V23" t="s">
        <v>299</v>
      </c>
      <c r="W23">
        <v>300</v>
      </c>
      <c r="X23" t="s">
        <v>302</v>
      </c>
      <c r="Y23" t="s">
        <v>250</v>
      </c>
      <c r="Z23" t="s">
        <v>263</v>
      </c>
      <c r="AA23" t="s">
        <v>274</v>
      </c>
      <c r="AB23" t="s">
        <v>282</v>
      </c>
      <c r="AC23" t="s">
        <v>288</v>
      </c>
      <c r="AD23" t="s">
        <v>293</v>
      </c>
      <c r="AE23" t="s">
        <v>297</v>
      </c>
      <c r="AF23" t="s">
        <v>300</v>
      </c>
      <c r="AG23" t="s">
        <v>472</v>
      </c>
      <c r="AH23" t="s">
        <v>468</v>
      </c>
      <c r="AI23" t="s">
        <v>0</v>
      </c>
      <c r="AJ23" t="s">
        <v>3</v>
      </c>
      <c r="AK23" t="s">
        <v>521</v>
      </c>
      <c r="AM23" t="s">
        <v>475</v>
      </c>
      <c r="AN23">
        <v>2</v>
      </c>
      <c r="AO23" t="s">
        <v>192</v>
      </c>
      <c r="AP23" t="s">
        <v>191</v>
      </c>
      <c r="AQ23" t="s">
        <v>315</v>
      </c>
      <c r="AS23">
        <v>3</v>
      </c>
      <c r="AT23">
        <v>5</v>
      </c>
      <c r="AU23">
        <v>8</v>
      </c>
      <c r="AV23" t="s">
        <v>193</v>
      </c>
      <c r="AW23" t="s">
        <v>235</v>
      </c>
      <c r="AX23" t="s">
        <v>448</v>
      </c>
      <c r="AY23" t="s">
        <v>236</v>
      </c>
      <c r="AZ23" t="s">
        <v>237</v>
      </c>
      <c r="BA23" t="s">
        <v>238</v>
      </c>
      <c r="BB23">
        <v>2</v>
      </c>
      <c r="BC23">
        <v>2</v>
      </c>
      <c r="BF23" t="s">
        <v>456</v>
      </c>
      <c r="BG23" t="s">
        <v>308</v>
      </c>
      <c r="BH23">
        <v>2</v>
      </c>
      <c r="BI23" t="s">
        <v>465</v>
      </c>
      <c r="BJ23" t="s">
        <v>465</v>
      </c>
      <c r="BK23" t="s">
        <v>193</v>
      </c>
      <c r="BL23" t="s">
        <v>465</v>
      </c>
      <c r="BR23"/>
      <c r="BS23"/>
      <c r="BT23" s="5"/>
      <c r="BU23" s="5"/>
      <c r="BW23" t="s">
        <v>521</v>
      </c>
      <c r="BX23">
        <v>2</v>
      </c>
      <c r="BY23" t="s">
        <v>314</v>
      </c>
      <c r="BZ23" s="3">
        <v>3</v>
      </c>
      <c r="CA23" t="s">
        <v>3</v>
      </c>
      <c r="CB23" t="s">
        <v>239</v>
      </c>
      <c r="CD23" t="s">
        <v>239</v>
      </c>
      <c r="CE23" t="s">
        <v>244</v>
      </c>
      <c r="CH23" t="s">
        <v>467</v>
      </c>
      <c r="CI23" t="s">
        <v>467</v>
      </c>
      <c r="CJ23" t="s">
        <v>467</v>
      </c>
      <c r="CK23" t="s">
        <v>467</v>
      </c>
      <c r="CL23" t="s">
        <v>467</v>
      </c>
      <c r="CM23" t="s">
        <v>467</v>
      </c>
      <c r="CN23" t="s">
        <v>467</v>
      </c>
      <c r="CO23" t="s">
        <v>467</v>
      </c>
      <c r="CP23" t="s">
        <v>408</v>
      </c>
      <c r="CQ23" t="s">
        <v>467</v>
      </c>
      <c r="CR23" t="s">
        <v>467</v>
      </c>
      <c r="CS23" t="s">
        <v>223</v>
      </c>
      <c r="CT23" t="s">
        <v>223</v>
      </c>
      <c r="CU23" t="s">
        <v>241</v>
      </c>
      <c r="CV23" t="s">
        <v>774</v>
      </c>
      <c r="CW23" t="s">
        <v>745</v>
      </c>
      <c r="CX23" t="s">
        <v>7</v>
      </c>
      <c r="CY23" t="s">
        <v>271</v>
      </c>
      <c r="CZ23" t="s">
        <v>773</v>
      </c>
      <c r="DA23" t="s">
        <v>729</v>
      </c>
      <c r="DB23" t="s">
        <v>7</v>
      </c>
      <c r="DC23" t="s">
        <v>467</v>
      </c>
      <c r="DE23" t="s">
        <v>241</v>
      </c>
    </row>
    <row r="24" spans="1:109" x14ac:dyDescent="0.25">
      <c r="A24" t="s">
        <v>457</v>
      </c>
      <c r="B24" t="s">
        <v>479</v>
      </c>
      <c r="C24">
        <v>2</v>
      </c>
      <c r="D24" s="33">
        <v>44428</v>
      </c>
      <c r="E24" t="s">
        <v>458</v>
      </c>
      <c r="F24" t="s">
        <v>340</v>
      </c>
      <c r="G24" t="s">
        <v>459</v>
      </c>
      <c r="H24" t="s">
        <v>452</v>
      </c>
      <c r="I24" t="s">
        <v>344</v>
      </c>
      <c r="J24" t="s">
        <v>286</v>
      </c>
      <c r="K24" t="s">
        <v>246</v>
      </c>
      <c r="L24" t="s">
        <v>247</v>
      </c>
      <c r="M24" t="s">
        <v>248</v>
      </c>
      <c r="N24">
        <v>0.3</v>
      </c>
      <c r="O24" t="s">
        <v>460</v>
      </c>
      <c r="P24" t="s">
        <v>232</v>
      </c>
      <c r="Q24" t="s">
        <v>232</v>
      </c>
      <c r="S24">
        <v>20</v>
      </c>
      <c r="T24" t="s">
        <v>461</v>
      </c>
      <c r="U24">
        <v>45</v>
      </c>
      <c r="V24" t="s">
        <v>255</v>
      </c>
      <c r="W24">
        <v>250</v>
      </c>
      <c r="X24" t="s">
        <v>263</v>
      </c>
      <c r="Y24" t="s">
        <v>274</v>
      </c>
      <c r="Z24" t="s">
        <v>293</v>
      </c>
      <c r="AA24" t="s">
        <v>462</v>
      </c>
      <c r="AH24" t="s">
        <v>702</v>
      </c>
      <c r="AI24" t="s">
        <v>457</v>
      </c>
      <c r="AK24" t="s">
        <v>521</v>
      </c>
      <c r="AM24" t="s">
        <v>475</v>
      </c>
      <c r="AN24">
        <v>1</v>
      </c>
      <c r="AO24" t="s">
        <v>192</v>
      </c>
      <c r="AP24" t="s">
        <v>523</v>
      </c>
      <c r="AS24">
        <v>3</v>
      </c>
      <c r="AT24">
        <v>0</v>
      </c>
      <c r="AU24">
        <v>3</v>
      </c>
      <c r="AV24" t="s">
        <v>222</v>
      </c>
      <c r="AW24" t="s">
        <v>235</v>
      </c>
      <c r="AX24" t="s">
        <v>448</v>
      </c>
      <c r="AY24" t="s">
        <v>236</v>
      </c>
      <c r="AZ24" t="s">
        <v>237</v>
      </c>
      <c r="BA24" t="s">
        <v>278</v>
      </c>
      <c r="BB24">
        <v>10</v>
      </c>
      <c r="BC24">
        <v>10</v>
      </c>
      <c r="BF24" t="s">
        <v>307</v>
      </c>
      <c r="BG24" t="s">
        <v>408</v>
      </c>
      <c r="BH24">
        <v>10</v>
      </c>
      <c r="BI24" t="s">
        <v>464</v>
      </c>
      <c r="BJ24" t="s">
        <v>464</v>
      </c>
      <c r="BK24" t="s">
        <v>193</v>
      </c>
      <c r="BL24" t="s">
        <v>464</v>
      </c>
      <c r="BR24"/>
      <c r="BS24"/>
      <c r="BT24" s="5"/>
      <c r="BU24" s="5"/>
      <c r="BW24" t="s">
        <v>521</v>
      </c>
      <c r="BX24">
        <v>2</v>
      </c>
      <c r="BY24" t="s">
        <v>314</v>
      </c>
      <c r="BZ24" s="3">
        <v>3</v>
      </c>
    </row>
    <row r="25" spans="1:109" x14ac:dyDescent="0.25">
      <c r="A25" t="s">
        <v>457</v>
      </c>
      <c r="B25" t="s">
        <v>479</v>
      </c>
      <c r="C25">
        <v>2</v>
      </c>
      <c r="D25" s="33">
        <v>44428</v>
      </c>
      <c r="E25" t="s">
        <v>458</v>
      </c>
      <c r="F25" t="s">
        <v>340</v>
      </c>
      <c r="G25" t="s">
        <v>459</v>
      </c>
      <c r="H25" t="s">
        <v>452</v>
      </c>
      <c r="I25" t="s">
        <v>344</v>
      </c>
      <c r="J25" t="s">
        <v>286</v>
      </c>
      <c r="K25" t="s">
        <v>246</v>
      </c>
      <c r="L25" t="s">
        <v>247</v>
      </c>
      <c r="M25" t="s">
        <v>248</v>
      </c>
      <c r="N25">
        <v>0.3</v>
      </c>
      <c r="O25" t="s">
        <v>460</v>
      </c>
      <c r="P25" t="s">
        <v>232</v>
      </c>
      <c r="Q25" t="s">
        <v>232</v>
      </c>
      <c r="S25">
        <v>20</v>
      </c>
      <c r="T25" t="s">
        <v>461</v>
      </c>
      <c r="U25">
        <v>45</v>
      </c>
      <c r="V25" t="s">
        <v>255</v>
      </c>
      <c r="W25">
        <v>250</v>
      </c>
      <c r="X25" t="s">
        <v>263</v>
      </c>
      <c r="Y25" t="s">
        <v>274</v>
      </c>
      <c r="Z25" t="s">
        <v>293</v>
      </c>
      <c r="AA25" t="s">
        <v>462</v>
      </c>
      <c r="AH25" t="s">
        <v>701</v>
      </c>
      <c r="AI25" t="s">
        <v>457</v>
      </c>
      <c r="AM25" t="s">
        <v>475</v>
      </c>
      <c r="AN25">
        <v>3</v>
      </c>
      <c r="AO25" t="s">
        <v>233</v>
      </c>
      <c r="AP25" t="s">
        <v>233</v>
      </c>
      <c r="AS25">
        <v>1</v>
      </c>
      <c r="AT25">
        <v>9</v>
      </c>
      <c r="AU25">
        <v>10</v>
      </c>
      <c r="BF25" t="s">
        <v>233</v>
      </c>
      <c r="BG25" t="s">
        <v>308</v>
      </c>
      <c r="BR25"/>
      <c r="BS25"/>
      <c r="BT25" s="5"/>
      <c r="BU25" s="5"/>
      <c r="BX25"/>
      <c r="BZ25" s="3"/>
    </row>
    <row r="26" spans="1:109" x14ac:dyDescent="0.25">
      <c r="A26" t="s">
        <v>457</v>
      </c>
      <c r="B26" t="s">
        <v>479</v>
      </c>
      <c r="C26">
        <v>2</v>
      </c>
      <c r="D26" s="33">
        <v>44428</v>
      </c>
      <c r="E26" t="s">
        <v>458</v>
      </c>
      <c r="F26" t="s">
        <v>340</v>
      </c>
      <c r="G26" t="s">
        <v>459</v>
      </c>
      <c r="H26" t="s">
        <v>452</v>
      </c>
      <c r="I26" t="s">
        <v>344</v>
      </c>
      <c r="J26" t="s">
        <v>286</v>
      </c>
      <c r="K26" t="s">
        <v>246</v>
      </c>
      <c r="L26" t="s">
        <v>247</v>
      </c>
      <c r="M26" t="s">
        <v>248</v>
      </c>
      <c r="N26">
        <v>0.3</v>
      </c>
      <c r="O26" t="s">
        <v>460</v>
      </c>
      <c r="P26" t="s">
        <v>232</v>
      </c>
      <c r="Q26" t="s">
        <v>232</v>
      </c>
      <c r="S26">
        <v>20</v>
      </c>
      <c r="T26" t="s">
        <v>461</v>
      </c>
      <c r="U26">
        <v>45</v>
      </c>
      <c r="V26" t="s">
        <v>255</v>
      </c>
      <c r="W26">
        <v>250</v>
      </c>
      <c r="X26" t="s">
        <v>263</v>
      </c>
      <c r="Y26" t="s">
        <v>274</v>
      </c>
      <c r="Z26" t="s">
        <v>293</v>
      </c>
      <c r="AA26" t="s">
        <v>462</v>
      </c>
      <c r="AH26" t="s">
        <v>699</v>
      </c>
      <c r="AI26" t="s">
        <v>457</v>
      </c>
      <c r="AM26" t="s">
        <v>475</v>
      </c>
      <c r="AN26">
        <v>4</v>
      </c>
      <c r="AO26" t="s">
        <v>264</v>
      </c>
      <c r="AP26" t="s">
        <v>537</v>
      </c>
      <c r="AR26" t="s">
        <v>736</v>
      </c>
      <c r="AS26">
        <v>17</v>
      </c>
      <c r="AT26">
        <v>10</v>
      </c>
      <c r="AU26">
        <v>27</v>
      </c>
      <c r="BF26" t="s">
        <v>700</v>
      </c>
      <c r="BG26" t="s">
        <v>308</v>
      </c>
      <c r="BL26" t="s">
        <v>737</v>
      </c>
      <c r="BR26"/>
      <c r="BS26"/>
      <c r="BT26" s="5"/>
      <c r="BU26" s="5"/>
      <c r="BX26"/>
      <c r="BZ26" s="3"/>
    </row>
    <row r="27" spans="1:109" x14ac:dyDescent="0.25">
      <c r="A27" t="s">
        <v>457</v>
      </c>
      <c r="B27" t="s">
        <v>479</v>
      </c>
      <c r="C27">
        <v>2</v>
      </c>
      <c r="D27" s="33">
        <v>44428</v>
      </c>
      <c r="E27" t="s">
        <v>458</v>
      </c>
      <c r="F27" t="s">
        <v>340</v>
      </c>
      <c r="G27" t="s">
        <v>459</v>
      </c>
      <c r="H27" t="s">
        <v>452</v>
      </c>
      <c r="I27" t="s">
        <v>344</v>
      </c>
      <c r="J27" t="s">
        <v>286</v>
      </c>
      <c r="K27" t="s">
        <v>246</v>
      </c>
      <c r="L27" t="s">
        <v>247</v>
      </c>
      <c r="M27" t="s">
        <v>248</v>
      </c>
      <c r="N27">
        <v>0.3</v>
      </c>
      <c r="O27" t="s">
        <v>460</v>
      </c>
      <c r="P27" t="s">
        <v>232</v>
      </c>
      <c r="Q27" t="s">
        <v>232</v>
      </c>
      <c r="S27">
        <v>20</v>
      </c>
      <c r="T27" t="s">
        <v>461</v>
      </c>
      <c r="U27">
        <v>45</v>
      </c>
      <c r="V27" t="s">
        <v>255</v>
      </c>
      <c r="W27">
        <v>250</v>
      </c>
      <c r="X27" t="s">
        <v>263</v>
      </c>
      <c r="Y27" t="s">
        <v>274</v>
      </c>
      <c r="Z27" t="s">
        <v>293</v>
      </c>
      <c r="AA27" t="s">
        <v>462</v>
      </c>
      <c r="AH27" t="s">
        <v>704</v>
      </c>
      <c r="AI27" t="s">
        <v>457</v>
      </c>
      <c r="AJ27" t="s">
        <v>3</v>
      </c>
      <c r="AM27" t="s">
        <v>475</v>
      </c>
      <c r="AN27">
        <v>5</v>
      </c>
      <c r="AO27" t="s">
        <v>251</v>
      </c>
      <c r="AP27" t="s">
        <v>530</v>
      </c>
      <c r="AS27">
        <v>6</v>
      </c>
      <c r="AT27">
        <v>27</v>
      </c>
      <c r="AU27">
        <v>33</v>
      </c>
      <c r="AW27" t="s">
        <v>253</v>
      </c>
      <c r="AX27" t="s">
        <v>551</v>
      </c>
      <c r="AY27" t="s">
        <v>254</v>
      </c>
      <c r="AZ27" t="s">
        <v>255</v>
      </c>
      <c r="BA27" t="s">
        <v>221</v>
      </c>
      <c r="BB27">
        <v>11</v>
      </c>
      <c r="BC27">
        <v>11</v>
      </c>
      <c r="BE27" t="s">
        <v>276</v>
      </c>
      <c r="BF27" t="s">
        <v>570</v>
      </c>
      <c r="BG27" t="s">
        <v>308</v>
      </c>
      <c r="BH27">
        <v>11</v>
      </c>
      <c r="BI27" t="s">
        <v>465</v>
      </c>
      <c r="BJ27" t="s">
        <v>465</v>
      </c>
      <c r="BK27" t="s">
        <v>222</v>
      </c>
      <c r="BL27" t="s">
        <v>465</v>
      </c>
      <c r="BR27"/>
      <c r="BS27"/>
      <c r="BT27" s="5"/>
      <c r="BU27" s="5"/>
      <c r="BX27"/>
      <c r="BZ27" s="3"/>
      <c r="CA27" t="s">
        <v>3</v>
      </c>
      <c r="CB27" t="s">
        <v>239</v>
      </c>
      <c r="CD27" t="s">
        <v>239</v>
      </c>
      <c r="CE27" t="s">
        <v>244</v>
      </c>
      <c r="CH27" t="s">
        <v>467</v>
      </c>
      <c r="CI27" t="s">
        <v>467</v>
      </c>
      <c r="CJ27" t="s">
        <v>467</v>
      </c>
      <c r="CK27" t="s">
        <v>467</v>
      </c>
      <c r="CL27" t="s">
        <v>467</v>
      </c>
      <c r="CM27" t="s">
        <v>467</v>
      </c>
      <c r="CN27" t="s">
        <v>467</v>
      </c>
      <c r="CO27" t="s">
        <v>467</v>
      </c>
      <c r="CP27" t="s">
        <v>408</v>
      </c>
      <c r="CQ27" t="s">
        <v>467</v>
      </c>
      <c r="CR27" t="s">
        <v>467</v>
      </c>
      <c r="CS27" t="s">
        <v>223</v>
      </c>
      <c r="CT27" t="s">
        <v>223</v>
      </c>
      <c r="CU27" t="s">
        <v>241</v>
      </c>
      <c r="CV27" t="s">
        <v>774</v>
      </c>
      <c r="CW27" t="s">
        <v>745</v>
      </c>
      <c r="CX27" t="s">
        <v>7</v>
      </c>
      <c r="CY27" t="s">
        <v>271</v>
      </c>
      <c r="CZ27" t="s">
        <v>773</v>
      </c>
      <c r="DA27" t="s">
        <v>729</v>
      </c>
      <c r="DB27" t="s">
        <v>7</v>
      </c>
      <c r="DC27" t="s">
        <v>467</v>
      </c>
      <c r="DE27" t="s">
        <v>241</v>
      </c>
    </row>
    <row r="28" spans="1:109" x14ac:dyDescent="0.25">
      <c r="A28" t="s">
        <v>457</v>
      </c>
      <c r="B28" t="s">
        <v>479</v>
      </c>
      <c r="C28">
        <v>2</v>
      </c>
      <c r="D28" s="33">
        <v>44428</v>
      </c>
      <c r="E28" t="s">
        <v>458</v>
      </c>
      <c r="F28" t="s">
        <v>340</v>
      </c>
      <c r="G28" t="s">
        <v>459</v>
      </c>
      <c r="H28" t="s">
        <v>452</v>
      </c>
      <c r="I28" t="s">
        <v>344</v>
      </c>
      <c r="J28" t="s">
        <v>286</v>
      </c>
      <c r="K28" t="s">
        <v>246</v>
      </c>
      <c r="L28" t="s">
        <v>247</v>
      </c>
      <c r="M28" t="s">
        <v>248</v>
      </c>
      <c r="N28">
        <v>0.3</v>
      </c>
      <c r="O28" t="s">
        <v>460</v>
      </c>
      <c r="P28" t="s">
        <v>232</v>
      </c>
      <c r="Q28" t="s">
        <v>232</v>
      </c>
      <c r="S28">
        <v>20</v>
      </c>
      <c r="T28" t="s">
        <v>461</v>
      </c>
      <c r="U28">
        <v>45</v>
      </c>
      <c r="V28" t="s">
        <v>255</v>
      </c>
      <c r="W28">
        <v>250</v>
      </c>
      <c r="X28" t="s">
        <v>263</v>
      </c>
      <c r="Y28" t="s">
        <v>274</v>
      </c>
      <c r="Z28" t="s">
        <v>293</v>
      </c>
      <c r="AA28" t="s">
        <v>462</v>
      </c>
      <c r="AH28" t="s">
        <v>703</v>
      </c>
      <c r="AI28" t="s">
        <v>457</v>
      </c>
      <c r="AJ28" t="s">
        <v>524</v>
      </c>
      <c r="AK28" t="s">
        <v>522</v>
      </c>
      <c r="AM28" t="s">
        <v>475</v>
      </c>
      <c r="AN28">
        <v>2</v>
      </c>
      <c r="AO28" t="s">
        <v>192</v>
      </c>
      <c r="AP28" t="s">
        <v>536</v>
      </c>
      <c r="AS28">
        <v>6</v>
      </c>
      <c r="AT28">
        <v>3</v>
      </c>
      <c r="AU28">
        <v>9</v>
      </c>
      <c r="AV28" t="s">
        <v>193</v>
      </c>
      <c r="BF28" t="s">
        <v>536</v>
      </c>
      <c r="BG28" t="s">
        <v>308</v>
      </c>
      <c r="BR28"/>
      <c r="BS28"/>
      <c r="BT28" s="5"/>
      <c r="BU28" s="5"/>
      <c r="BW28" t="s">
        <v>522</v>
      </c>
      <c r="BX28">
        <v>3</v>
      </c>
      <c r="BY28" t="s">
        <v>8</v>
      </c>
      <c r="BZ28" s="3">
        <v>5</v>
      </c>
      <c r="CA28" t="s">
        <v>524</v>
      </c>
      <c r="CB28" t="s">
        <v>412</v>
      </c>
      <c r="CD28" t="s">
        <v>437</v>
      </c>
      <c r="CE28" t="s">
        <v>226</v>
      </c>
      <c r="CH28" t="s">
        <v>639</v>
      </c>
      <c r="CI28" t="s">
        <v>639</v>
      </c>
      <c r="CJ28" t="s">
        <v>639</v>
      </c>
      <c r="CK28" t="s">
        <v>639</v>
      </c>
      <c r="CL28" t="s">
        <v>639</v>
      </c>
      <c r="CM28" t="s">
        <v>639</v>
      </c>
      <c r="CN28" t="s">
        <v>639</v>
      </c>
      <c r="CO28" t="s">
        <v>639</v>
      </c>
      <c r="CP28" t="s">
        <v>409</v>
      </c>
      <c r="CQ28" t="s">
        <v>639</v>
      </c>
      <c r="CR28" t="s">
        <v>639</v>
      </c>
      <c r="CS28" t="s">
        <v>240</v>
      </c>
      <c r="CT28" t="s">
        <v>240</v>
      </c>
      <c r="CU28" t="s">
        <v>7</v>
      </c>
      <c r="CV28" t="s">
        <v>751</v>
      </c>
      <c r="CW28" t="s">
        <v>746</v>
      </c>
      <c r="CX28" t="s">
        <v>241</v>
      </c>
      <c r="CY28" t="s">
        <v>258</v>
      </c>
      <c r="CZ28" t="s">
        <v>729</v>
      </c>
      <c r="DA28" t="s">
        <v>225</v>
      </c>
      <c r="DB28" t="s">
        <v>241</v>
      </c>
      <c r="DC28" t="s">
        <v>639</v>
      </c>
    </row>
    <row r="29" spans="1:109" x14ac:dyDescent="0.25">
      <c r="A29" t="s">
        <v>514</v>
      </c>
      <c r="B29" t="s">
        <v>479</v>
      </c>
      <c r="C29">
        <v>3</v>
      </c>
      <c r="D29" s="33">
        <v>44429</v>
      </c>
      <c r="E29" t="s">
        <v>484</v>
      </c>
      <c r="F29" t="s">
        <v>340</v>
      </c>
      <c r="G29" t="s">
        <v>485</v>
      </c>
      <c r="H29" t="s">
        <v>486</v>
      </c>
      <c r="I29" t="s">
        <v>344</v>
      </c>
      <c r="J29" t="s">
        <v>280</v>
      </c>
      <c r="K29" t="s">
        <v>229</v>
      </c>
      <c r="L29" t="s">
        <v>246</v>
      </c>
      <c r="M29" t="s">
        <v>261</v>
      </c>
      <c r="N29" t="s">
        <v>738</v>
      </c>
      <c r="O29" t="s">
        <v>487</v>
      </c>
      <c r="P29" t="s">
        <v>232</v>
      </c>
      <c r="R29" t="s">
        <v>232</v>
      </c>
      <c r="S29">
        <v>30</v>
      </c>
      <c r="T29" t="s">
        <v>488</v>
      </c>
      <c r="U29">
        <v>45</v>
      </c>
      <c r="V29" t="s">
        <v>299</v>
      </c>
      <c r="W29">
        <v>100</v>
      </c>
      <c r="AH29" t="s">
        <v>708</v>
      </c>
      <c r="AI29" t="s">
        <v>514</v>
      </c>
      <c r="AM29" t="s">
        <v>475</v>
      </c>
      <c r="AN29">
        <v>5</v>
      </c>
      <c r="AO29" t="s">
        <v>251</v>
      </c>
      <c r="AP29" t="s">
        <v>539</v>
      </c>
      <c r="AQ29" t="s">
        <v>540</v>
      </c>
      <c r="AS29">
        <v>150</v>
      </c>
      <c r="AT29">
        <v>21</v>
      </c>
      <c r="AU29">
        <v>171</v>
      </c>
      <c r="BF29" t="s">
        <v>570</v>
      </c>
      <c r="BG29" t="s">
        <v>308</v>
      </c>
      <c r="BR29"/>
      <c r="BS29"/>
      <c r="BT29" s="5"/>
      <c r="BU29" s="5"/>
      <c r="BX29"/>
      <c r="BZ29" s="3"/>
    </row>
    <row r="30" spans="1:109" x14ac:dyDescent="0.25">
      <c r="A30" t="s">
        <v>514</v>
      </c>
      <c r="B30" t="s">
        <v>479</v>
      </c>
      <c r="C30">
        <v>3</v>
      </c>
      <c r="D30" s="33">
        <v>44429</v>
      </c>
      <c r="E30" t="s">
        <v>484</v>
      </c>
      <c r="F30" t="s">
        <v>340</v>
      </c>
      <c r="G30" t="s">
        <v>485</v>
      </c>
      <c r="H30" t="s">
        <v>486</v>
      </c>
      <c r="I30" t="s">
        <v>344</v>
      </c>
      <c r="J30" t="s">
        <v>280</v>
      </c>
      <c r="K30" t="s">
        <v>229</v>
      </c>
      <c r="L30" t="s">
        <v>246</v>
      </c>
      <c r="M30" t="s">
        <v>261</v>
      </c>
      <c r="N30" t="s">
        <v>738</v>
      </c>
      <c r="O30" t="s">
        <v>487</v>
      </c>
      <c r="P30" t="s">
        <v>232</v>
      </c>
      <c r="R30" t="s">
        <v>232</v>
      </c>
      <c r="S30">
        <v>30</v>
      </c>
      <c r="T30" t="s">
        <v>488</v>
      </c>
      <c r="U30">
        <v>45</v>
      </c>
      <c r="V30" t="s">
        <v>299</v>
      </c>
      <c r="W30">
        <v>100</v>
      </c>
      <c r="AH30" t="s">
        <v>709</v>
      </c>
      <c r="AI30" t="s">
        <v>514</v>
      </c>
      <c r="AJ30" t="s">
        <v>526</v>
      </c>
      <c r="AM30" t="s">
        <v>475</v>
      </c>
      <c r="AN30">
        <v>2</v>
      </c>
      <c r="AO30" t="s">
        <v>264</v>
      </c>
      <c r="AP30" t="s">
        <v>537</v>
      </c>
      <c r="AS30">
        <v>2</v>
      </c>
      <c r="AT30">
        <v>4</v>
      </c>
      <c r="AU30">
        <v>6</v>
      </c>
      <c r="BF30" t="s">
        <v>700</v>
      </c>
      <c r="BG30" t="s">
        <v>308</v>
      </c>
      <c r="BR30"/>
      <c r="BS30"/>
      <c r="BT30" s="5"/>
      <c r="BU30" s="5"/>
      <c r="BX30"/>
      <c r="BZ30" s="3"/>
      <c r="CA30" t="s">
        <v>526</v>
      </c>
      <c r="CB30" t="s">
        <v>437</v>
      </c>
      <c r="CD30" t="s">
        <v>239</v>
      </c>
      <c r="CE30" t="s">
        <v>226</v>
      </c>
      <c r="CF30" t="s">
        <v>226</v>
      </c>
      <c r="CH30" t="s">
        <v>641</v>
      </c>
      <c r="CI30" t="s">
        <v>641</v>
      </c>
      <c r="CJ30" t="s">
        <v>641</v>
      </c>
      <c r="CK30" t="s">
        <v>641</v>
      </c>
      <c r="CL30" t="s">
        <v>641</v>
      </c>
      <c r="CM30" t="s">
        <v>641</v>
      </c>
      <c r="CN30" t="s">
        <v>641</v>
      </c>
      <c r="CO30" t="s">
        <v>641</v>
      </c>
      <c r="CP30" t="s">
        <v>408</v>
      </c>
      <c r="CQ30" t="s">
        <v>641</v>
      </c>
      <c r="CR30" t="s">
        <v>641</v>
      </c>
      <c r="CS30" t="s">
        <v>257</v>
      </c>
      <c r="CT30" t="s">
        <v>257</v>
      </c>
      <c r="CU30" t="s">
        <v>241</v>
      </c>
      <c r="CV30" t="s">
        <v>761</v>
      </c>
      <c r="CW30" t="s">
        <v>752</v>
      </c>
      <c r="CX30" t="s">
        <v>7</v>
      </c>
      <c r="CY30" t="s">
        <v>242</v>
      </c>
      <c r="CZ30" t="s">
        <v>730</v>
      </c>
      <c r="DB30" t="s">
        <v>7</v>
      </c>
      <c r="DC30" t="s">
        <v>641</v>
      </c>
    </row>
    <row r="31" spans="1:109" x14ac:dyDescent="0.25">
      <c r="A31" t="s">
        <v>514</v>
      </c>
      <c r="B31" t="s">
        <v>479</v>
      </c>
      <c r="C31">
        <v>3</v>
      </c>
      <c r="D31" s="33">
        <v>44429</v>
      </c>
      <c r="E31" t="s">
        <v>484</v>
      </c>
      <c r="F31" t="s">
        <v>340</v>
      </c>
      <c r="G31" t="s">
        <v>485</v>
      </c>
      <c r="H31" t="s">
        <v>486</v>
      </c>
      <c r="I31" t="s">
        <v>344</v>
      </c>
      <c r="J31" t="s">
        <v>280</v>
      </c>
      <c r="K31" t="s">
        <v>229</v>
      </c>
      <c r="L31" t="s">
        <v>246</v>
      </c>
      <c r="M31" t="s">
        <v>261</v>
      </c>
      <c r="N31" t="s">
        <v>738</v>
      </c>
      <c r="O31" t="s">
        <v>487</v>
      </c>
      <c r="P31" t="s">
        <v>232</v>
      </c>
      <c r="R31" t="s">
        <v>232</v>
      </c>
      <c r="S31">
        <v>30</v>
      </c>
      <c r="T31" t="s">
        <v>488</v>
      </c>
      <c r="U31">
        <v>45</v>
      </c>
      <c r="V31" t="s">
        <v>299</v>
      </c>
      <c r="W31">
        <v>100</v>
      </c>
      <c r="AH31" t="s">
        <v>705</v>
      </c>
      <c r="AI31" t="s">
        <v>514</v>
      </c>
      <c r="AM31" t="s">
        <v>475</v>
      </c>
      <c r="AN31">
        <v>4</v>
      </c>
      <c r="AO31" t="s">
        <v>192</v>
      </c>
      <c r="AP31" t="s">
        <v>538</v>
      </c>
      <c r="AS31">
        <v>5</v>
      </c>
      <c r="AT31">
        <v>16</v>
      </c>
      <c r="AU31">
        <v>21</v>
      </c>
      <c r="BF31" t="s">
        <v>538</v>
      </c>
      <c r="BG31" t="s">
        <v>308</v>
      </c>
      <c r="BR31"/>
      <c r="BS31"/>
      <c r="BT31" s="5"/>
      <c r="BU31" s="5"/>
      <c r="BX31"/>
      <c r="BZ31" s="3"/>
    </row>
    <row r="32" spans="1:109" x14ac:dyDescent="0.25">
      <c r="A32" t="s">
        <v>514</v>
      </c>
      <c r="B32" t="s">
        <v>479</v>
      </c>
      <c r="C32">
        <v>3</v>
      </c>
      <c r="D32" s="33">
        <v>44429</v>
      </c>
      <c r="E32" t="s">
        <v>484</v>
      </c>
      <c r="F32" t="s">
        <v>340</v>
      </c>
      <c r="G32" t="s">
        <v>485</v>
      </c>
      <c r="H32" t="s">
        <v>486</v>
      </c>
      <c r="I32" t="s">
        <v>344</v>
      </c>
      <c r="J32" t="s">
        <v>280</v>
      </c>
      <c r="K32" t="s">
        <v>229</v>
      </c>
      <c r="L32" t="s">
        <v>246</v>
      </c>
      <c r="M32" t="s">
        <v>261</v>
      </c>
      <c r="N32" t="s">
        <v>738</v>
      </c>
      <c r="O32" t="s">
        <v>487</v>
      </c>
      <c r="P32" t="s">
        <v>232</v>
      </c>
      <c r="R32" t="s">
        <v>232</v>
      </c>
      <c r="S32">
        <v>30</v>
      </c>
      <c r="T32" t="s">
        <v>488</v>
      </c>
      <c r="U32">
        <v>45</v>
      </c>
      <c r="V32" t="s">
        <v>299</v>
      </c>
      <c r="W32">
        <v>100</v>
      </c>
      <c r="AH32" t="s">
        <v>706</v>
      </c>
      <c r="AI32" t="s">
        <v>514</v>
      </c>
      <c r="AJ32" t="s">
        <v>529</v>
      </c>
      <c r="AM32" t="s">
        <v>475</v>
      </c>
      <c r="AN32">
        <v>3</v>
      </c>
      <c r="AO32" t="s">
        <v>264</v>
      </c>
      <c r="AP32" t="s">
        <v>537</v>
      </c>
      <c r="AS32">
        <v>10</v>
      </c>
      <c r="AT32">
        <v>6</v>
      </c>
      <c r="AU32">
        <v>16</v>
      </c>
      <c r="BF32" t="s">
        <v>700</v>
      </c>
      <c r="BG32" t="s">
        <v>308</v>
      </c>
      <c r="BR32"/>
      <c r="BS32"/>
      <c r="BT32" s="5"/>
      <c r="BU32" s="5"/>
      <c r="BX32"/>
      <c r="BZ32" s="3"/>
      <c r="CA32" t="s">
        <v>529</v>
      </c>
      <c r="CB32" t="s">
        <v>6</v>
      </c>
      <c r="CC32" t="s">
        <v>178</v>
      </c>
      <c r="CD32" t="s">
        <v>6</v>
      </c>
      <c r="CE32" t="s">
        <v>244</v>
      </c>
      <c r="CH32" t="s">
        <v>647</v>
      </c>
      <c r="CI32" t="s">
        <v>647</v>
      </c>
      <c r="CJ32" t="s">
        <v>647</v>
      </c>
      <c r="CK32" t="s">
        <v>647</v>
      </c>
      <c r="CL32" t="s">
        <v>647</v>
      </c>
      <c r="CM32" t="s">
        <v>647</v>
      </c>
      <c r="CN32" t="s">
        <v>647</v>
      </c>
      <c r="CO32" t="s">
        <v>647</v>
      </c>
      <c r="CP32" t="s">
        <v>409</v>
      </c>
      <c r="CQ32" t="s">
        <v>647</v>
      </c>
      <c r="CR32" t="s">
        <v>647</v>
      </c>
      <c r="CS32" t="s">
        <v>270</v>
      </c>
      <c r="CT32" t="s">
        <v>270</v>
      </c>
      <c r="CV32" t="s">
        <v>762</v>
      </c>
      <c r="CW32" t="s">
        <v>753</v>
      </c>
      <c r="CX32" t="s">
        <v>241</v>
      </c>
      <c r="CY32" t="s">
        <v>224</v>
      </c>
      <c r="CZ32" t="s">
        <v>731</v>
      </c>
      <c r="DA32" t="s">
        <v>730</v>
      </c>
      <c r="DB32" t="s">
        <v>241</v>
      </c>
      <c r="DC32" t="s">
        <v>647</v>
      </c>
    </row>
    <row r="33" spans="1:109" x14ac:dyDescent="0.25">
      <c r="A33" t="s">
        <v>514</v>
      </c>
      <c r="B33" t="s">
        <v>479</v>
      </c>
      <c r="C33">
        <v>3</v>
      </c>
      <c r="D33" s="33">
        <v>44429</v>
      </c>
      <c r="E33" t="s">
        <v>484</v>
      </c>
      <c r="F33" t="s">
        <v>340</v>
      </c>
      <c r="G33" t="s">
        <v>485</v>
      </c>
      <c r="H33" t="s">
        <v>486</v>
      </c>
      <c r="I33" t="s">
        <v>344</v>
      </c>
      <c r="J33" t="s">
        <v>280</v>
      </c>
      <c r="K33" t="s">
        <v>229</v>
      </c>
      <c r="L33" t="s">
        <v>246</v>
      </c>
      <c r="M33" t="s">
        <v>261</v>
      </c>
      <c r="N33" t="s">
        <v>738</v>
      </c>
      <c r="O33" t="s">
        <v>487</v>
      </c>
      <c r="P33" t="s">
        <v>232</v>
      </c>
      <c r="R33" t="s">
        <v>232</v>
      </c>
      <c r="S33">
        <v>30</v>
      </c>
      <c r="T33" t="s">
        <v>488</v>
      </c>
      <c r="U33">
        <v>45</v>
      </c>
      <c r="V33" t="s">
        <v>299</v>
      </c>
      <c r="W33">
        <v>100</v>
      </c>
      <c r="AH33" t="s">
        <v>707</v>
      </c>
      <c r="AI33" t="s">
        <v>514</v>
      </c>
      <c r="AJ33" t="s">
        <v>3</v>
      </c>
      <c r="AK33" t="s">
        <v>5</v>
      </c>
      <c r="AM33" t="s">
        <v>475</v>
      </c>
      <c r="AN33">
        <v>1</v>
      </c>
      <c r="AO33" t="s">
        <v>301</v>
      </c>
      <c r="AP33" t="s">
        <v>264</v>
      </c>
      <c r="AS33">
        <v>4</v>
      </c>
      <c r="AT33">
        <v>0</v>
      </c>
      <c r="AU33">
        <v>4</v>
      </c>
      <c r="AW33" t="s">
        <v>266</v>
      </c>
      <c r="AX33" t="s">
        <v>552</v>
      </c>
      <c r="AY33" t="s">
        <v>267</v>
      </c>
      <c r="AZ33" t="s">
        <v>268</v>
      </c>
      <c r="BA33" t="s">
        <v>238</v>
      </c>
      <c r="BB33">
        <v>12</v>
      </c>
      <c r="BC33">
        <v>12</v>
      </c>
      <c r="BE33" t="s">
        <v>234</v>
      </c>
      <c r="BF33" t="s">
        <v>700</v>
      </c>
      <c r="BG33" t="s">
        <v>308</v>
      </c>
      <c r="BH33">
        <v>12</v>
      </c>
      <c r="BI33" t="s">
        <v>562</v>
      </c>
      <c r="BJ33" t="s">
        <v>562</v>
      </c>
      <c r="BK33" t="s">
        <v>193</v>
      </c>
      <c r="BL33" t="s">
        <v>562</v>
      </c>
      <c r="BR33"/>
      <c r="BS33"/>
      <c r="BT33" s="5"/>
      <c r="BU33" s="5"/>
      <c r="BW33" t="s">
        <v>5</v>
      </c>
      <c r="BX33">
        <v>1</v>
      </c>
      <c r="BY33" t="s">
        <v>8</v>
      </c>
      <c r="BZ33" s="3">
        <v>77</v>
      </c>
      <c r="CA33" t="s">
        <v>3</v>
      </c>
      <c r="CB33" t="s">
        <v>239</v>
      </c>
      <c r="CD33" t="s">
        <v>239</v>
      </c>
      <c r="CE33" t="s">
        <v>244</v>
      </c>
      <c r="CH33" t="s">
        <v>467</v>
      </c>
      <c r="CI33" t="s">
        <v>467</v>
      </c>
      <c r="CJ33" t="s">
        <v>467</v>
      </c>
      <c r="CK33" t="s">
        <v>467</v>
      </c>
      <c r="CL33" t="s">
        <v>467</v>
      </c>
      <c r="CM33" t="s">
        <v>467</v>
      </c>
      <c r="CN33" t="s">
        <v>467</v>
      </c>
      <c r="CO33" t="s">
        <v>467</v>
      </c>
      <c r="CP33" t="s">
        <v>408</v>
      </c>
      <c r="CQ33" t="s">
        <v>467</v>
      </c>
      <c r="CR33" t="s">
        <v>467</v>
      </c>
      <c r="CS33" t="s">
        <v>223</v>
      </c>
      <c r="CT33" t="s">
        <v>223</v>
      </c>
      <c r="CU33" t="s">
        <v>241</v>
      </c>
      <c r="CV33" t="s">
        <v>774</v>
      </c>
      <c r="CW33" t="s">
        <v>745</v>
      </c>
      <c r="CX33" t="s">
        <v>7</v>
      </c>
      <c r="CY33" t="s">
        <v>271</v>
      </c>
      <c r="CZ33" t="s">
        <v>773</v>
      </c>
      <c r="DA33" t="s">
        <v>729</v>
      </c>
      <c r="DB33" t="s">
        <v>7</v>
      </c>
      <c r="DC33" t="s">
        <v>467</v>
      </c>
      <c r="DE33" t="s">
        <v>241</v>
      </c>
    </row>
    <row r="34" spans="1:109" x14ac:dyDescent="0.25">
      <c r="A34" t="s">
        <v>515</v>
      </c>
      <c r="B34" t="s">
        <v>479</v>
      </c>
      <c r="C34">
        <v>4</v>
      </c>
      <c r="D34" s="33">
        <v>44430</v>
      </c>
      <c r="E34" t="s">
        <v>489</v>
      </c>
      <c r="F34" t="s">
        <v>340</v>
      </c>
      <c r="G34" t="s">
        <v>490</v>
      </c>
      <c r="H34" t="s">
        <v>491</v>
      </c>
      <c r="I34" t="s">
        <v>344</v>
      </c>
      <c r="J34" t="s">
        <v>272</v>
      </c>
      <c r="L34" t="s">
        <v>246</v>
      </c>
      <c r="M34" t="s">
        <v>230</v>
      </c>
      <c r="N34">
        <v>1.8</v>
      </c>
      <c r="O34" t="s">
        <v>492</v>
      </c>
      <c r="Q34" t="s">
        <v>232</v>
      </c>
      <c r="S34">
        <v>40</v>
      </c>
      <c r="T34" t="s">
        <v>493</v>
      </c>
      <c r="U34">
        <v>45</v>
      </c>
      <c r="V34" t="s">
        <v>255</v>
      </c>
      <c r="W34">
        <v>100</v>
      </c>
      <c r="X34" t="s">
        <v>462</v>
      </c>
      <c r="AH34" t="s">
        <v>712</v>
      </c>
      <c r="AI34" t="s">
        <v>515</v>
      </c>
      <c r="AJ34" t="s">
        <v>524</v>
      </c>
      <c r="AM34" t="s">
        <v>475</v>
      </c>
      <c r="AN34">
        <v>2</v>
      </c>
      <c r="AO34" t="s">
        <v>301</v>
      </c>
      <c r="AP34" t="s">
        <v>530</v>
      </c>
      <c r="AS34">
        <v>1</v>
      </c>
      <c r="AT34">
        <v>3</v>
      </c>
      <c r="AU34">
        <v>4</v>
      </c>
      <c r="AW34" t="s">
        <v>235</v>
      </c>
      <c r="AX34" t="s">
        <v>448</v>
      </c>
      <c r="AY34" t="s">
        <v>236</v>
      </c>
      <c r="AZ34" t="s">
        <v>284</v>
      </c>
      <c r="BA34" t="s">
        <v>269</v>
      </c>
      <c r="BB34">
        <v>14</v>
      </c>
      <c r="BC34">
        <v>14</v>
      </c>
      <c r="BF34" t="s">
        <v>530</v>
      </c>
      <c r="BG34" t="s">
        <v>308</v>
      </c>
      <c r="BH34">
        <v>14</v>
      </c>
      <c r="BI34" t="s">
        <v>465</v>
      </c>
      <c r="BJ34" t="s">
        <v>465</v>
      </c>
      <c r="BK34" t="s">
        <v>193</v>
      </c>
      <c r="BL34" t="s">
        <v>465</v>
      </c>
      <c r="BR34"/>
      <c r="BS34"/>
      <c r="BT34" s="5"/>
      <c r="BU34" s="5"/>
      <c r="BX34"/>
      <c r="BZ34" s="3"/>
      <c r="CA34" t="s">
        <v>524</v>
      </c>
      <c r="CB34" t="s">
        <v>412</v>
      </c>
      <c r="CD34" t="s">
        <v>437</v>
      </c>
      <c r="CE34" t="s">
        <v>226</v>
      </c>
      <c r="CH34" t="s">
        <v>639</v>
      </c>
      <c r="CI34" t="s">
        <v>639</v>
      </c>
      <c r="CJ34" t="s">
        <v>639</v>
      </c>
      <c r="CK34" t="s">
        <v>639</v>
      </c>
      <c r="CL34" t="s">
        <v>639</v>
      </c>
      <c r="CM34" t="s">
        <v>639</v>
      </c>
      <c r="CN34" t="s">
        <v>639</v>
      </c>
      <c r="CO34" t="s">
        <v>639</v>
      </c>
      <c r="CP34" t="s">
        <v>409</v>
      </c>
      <c r="CQ34" t="s">
        <v>639</v>
      </c>
      <c r="CR34" t="s">
        <v>639</v>
      </c>
      <c r="CS34" t="s">
        <v>240</v>
      </c>
      <c r="CT34" t="s">
        <v>240</v>
      </c>
      <c r="CU34" t="s">
        <v>7</v>
      </c>
      <c r="CV34" t="s">
        <v>751</v>
      </c>
      <c r="CW34" t="s">
        <v>746</v>
      </c>
      <c r="CX34" t="s">
        <v>241</v>
      </c>
      <c r="CY34" t="s">
        <v>258</v>
      </c>
      <c r="CZ34" t="s">
        <v>729</v>
      </c>
      <c r="DA34" t="s">
        <v>225</v>
      </c>
      <c r="DB34" t="s">
        <v>241</v>
      </c>
      <c r="DC34" t="s">
        <v>639</v>
      </c>
    </row>
    <row r="35" spans="1:109" x14ac:dyDescent="0.25">
      <c r="A35" t="s">
        <v>515</v>
      </c>
      <c r="B35" t="s">
        <v>479</v>
      </c>
      <c r="C35">
        <v>4</v>
      </c>
      <c r="D35" s="33">
        <v>44430</v>
      </c>
      <c r="E35" t="s">
        <v>489</v>
      </c>
      <c r="F35" t="s">
        <v>340</v>
      </c>
      <c r="G35" t="s">
        <v>490</v>
      </c>
      <c r="H35" t="s">
        <v>491</v>
      </c>
      <c r="I35" t="s">
        <v>344</v>
      </c>
      <c r="J35" t="s">
        <v>272</v>
      </c>
      <c r="L35" t="s">
        <v>246</v>
      </c>
      <c r="M35" t="s">
        <v>230</v>
      </c>
      <c r="N35">
        <v>1.8</v>
      </c>
      <c r="O35" t="s">
        <v>492</v>
      </c>
      <c r="Q35" t="s">
        <v>232</v>
      </c>
      <c r="S35">
        <v>40</v>
      </c>
      <c r="T35" t="s">
        <v>493</v>
      </c>
      <c r="U35">
        <v>45</v>
      </c>
      <c r="V35" t="s">
        <v>255</v>
      </c>
      <c r="W35">
        <v>100</v>
      </c>
      <c r="X35" t="s">
        <v>462</v>
      </c>
      <c r="AH35" t="s">
        <v>711</v>
      </c>
      <c r="AI35" t="s">
        <v>515</v>
      </c>
      <c r="AJ35" t="s">
        <v>524</v>
      </c>
      <c r="AK35" t="s">
        <v>521</v>
      </c>
      <c r="AM35" t="s">
        <v>475</v>
      </c>
      <c r="AN35">
        <v>1</v>
      </c>
      <c r="AO35" t="s">
        <v>301</v>
      </c>
      <c r="AP35" t="s">
        <v>530</v>
      </c>
      <c r="AS35">
        <v>3</v>
      </c>
      <c r="AT35">
        <v>0</v>
      </c>
      <c r="AU35">
        <v>3</v>
      </c>
      <c r="AW35" t="s">
        <v>218</v>
      </c>
      <c r="AX35" t="s">
        <v>463</v>
      </c>
      <c r="AY35" t="s">
        <v>219</v>
      </c>
      <c r="AZ35" t="s">
        <v>277</v>
      </c>
      <c r="BA35" t="s">
        <v>256</v>
      </c>
      <c r="BB35">
        <v>13</v>
      </c>
      <c r="BC35">
        <v>13</v>
      </c>
      <c r="BE35" t="s">
        <v>276</v>
      </c>
      <c r="BF35" t="s">
        <v>530</v>
      </c>
      <c r="BG35" t="s">
        <v>308</v>
      </c>
      <c r="BH35">
        <v>13</v>
      </c>
      <c r="BI35" t="s">
        <v>464</v>
      </c>
      <c r="BJ35" t="s">
        <v>464</v>
      </c>
      <c r="BK35" t="s">
        <v>222</v>
      </c>
      <c r="BL35" t="s">
        <v>464</v>
      </c>
      <c r="BR35"/>
      <c r="BS35"/>
      <c r="BT35" s="5"/>
      <c r="BU35" s="5"/>
      <c r="BW35" t="s">
        <v>521</v>
      </c>
      <c r="BX35">
        <v>2</v>
      </c>
      <c r="BY35" t="s">
        <v>314</v>
      </c>
      <c r="BZ35" s="3">
        <v>3</v>
      </c>
      <c r="CA35" t="s">
        <v>524</v>
      </c>
      <c r="CB35" t="s">
        <v>412</v>
      </c>
      <c r="CD35" t="s">
        <v>437</v>
      </c>
      <c r="CE35" t="s">
        <v>226</v>
      </c>
      <c r="CH35" t="s">
        <v>639</v>
      </c>
      <c r="CI35" t="s">
        <v>639</v>
      </c>
      <c r="CJ35" t="s">
        <v>639</v>
      </c>
      <c r="CK35" t="s">
        <v>639</v>
      </c>
      <c r="CL35" t="s">
        <v>639</v>
      </c>
      <c r="CM35" t="s">
        <v>639</v>
      </c>
      <c r="CN35" t="s">
        <v>639</v>
      </c>
      <c r="CO35" t="s">
        <v>639</v>
      </c>
      <c r="CP35" t="s">
        <v>409</v>
      </c>
      <c r="CQ35" t="s">
        <v>639</v>
      </c>
      <c r="CR35" t="s">
        <v>639</v>
      </c>
      <c r="CS35" t="s">
        <v>240</v>
      </c>
      <c r="CT35" t="s">
        <v>240</v>
      </c>
      <c r="CU35" t="s">
        <v>7</v>
      </c>
      <c r="CV35" t="s">
        <v>751</v>
      </c>
      <c r="CW35" t="s">
        <v>746</v>
      </c>
      <c r="CX35" t="s">
        <v>241</v>
      </c>
      <c r="CY35" t="s">
        <v>258</v>
      </c>
      <c r="CZ35" t="s">
        <v>729</v>
      </c>
      <c r="DA35" t="s">
        <v>225</v>
      </c>
      <c r="DB35" t="s">
        <v>241</v>
      </c>
      <c r="DC35" t="s">
        <v>639</v>
      </c>
    </row>
    <row r="36" spans="1:109" x14ac:dyDescent="0.25">
      <c r="A36" t="s">
        <v>515</v>
      </c>
      <c r="B36" t="s">
        <v>479</v>
      </c>
      <c r="C36">
        <v>4</v>
      </c>
      <c r="D36" s="33">
        <v>44430</v>
      </c>
      <c r="E36" t="s">
        <v>489</v>
      </c>
      <c r="F36" t="s">
        <v>340</v>
      </c>
      <c r="G36" t="s">
        <v>490</v>
      </c>
      <c r="H36" t="s">
        <v>491</v>
      </c>
      <c r="I36" t="s">
        <v>344</v>
      </c>
      <c r="J36" t="s">
        <v>272</v>
      </c>
      <c r="L36" t="s">
        <v>246</v>
      </c>
      <c r="M36" t="s">
        <v>230</v>
      </c>
      <c r="N36">
        <v>1.8</v>
      </c>
      <c r="O36" t="s">
        <v>492</v>
      </c>
      <c r="Q36" t="s">
        <v>232</v>
      </c>
      <c r="S36">
        <v>40</v>
      </c>
      <c r="T36" t="s">
        <v>493</v>
      </c>
      <c r="U36">
        <v>45</v>
      </c>
      <c r="V36" t="s">
        <v>255</v>
      </c>
      <c r="W36">
        <v>100</v>
      </c>
      <c r="X36" t="s">
        <v>462</v>
      </c>
      <c r="AH36" t="s">
        <v>710</v>
      </c>
      <c r="AI36" t="s">
        <v>515</v>
      </c>
      <c r="AJ36" t="s">
        <v>526</v>
      </c>
      <c r="AM36" t="s">
        <v>475</v>
      </c>
      <c r="AN36">
        <v>3</v>
      </c>
      <c r="AO36" t="s">
        <v>294</v>
      </c>
      <c r="AP36" t="s">
        <v>541</v>
      </c>
      <c r="AS36">
        <v>12</v>
      </c>
      <c r="AT36">
        <v>4</v>
      </c>
      <c r="AU36">
        <v>16</v>
      </c>
      <c r="BF36" t="s">
        <v>541</v>
      </c>
      <c r="BG36" t="s">
        <v>308</v>
      </c>
      <c r="BR36"/>
      <c r="BS36"/>
      <c r="BT36" s="5"/>
      <c r="BU36" s="5"/>
      <c r="BX36"/>
      <c r="BZ36" s="3"/>
      <c r="CA36" t="s">
        <v>526</v>
      </c>
      <c r="CB36" t="s">
        <v>437</v>
      </c>
      <c r="CD36" t="s">
        <v>239</v>
      </c>
      <c r="CE36" t="s">
        <v>226</v>
      </c>
      <c r="CF36" t="s">
        <v>226</v>
      </c>
      <c r="CH36" t="s">
        <v>641</v>
      </c>
      <c r="CI36" t="s">
        <v>641</v>
      </c>
      <c r="CJ36" t="s">
        <v>641</v>
      </c>
      <c r="CK36" t="s">
        <v>641</v>
      </c>
      <c r="CL36" t="s">
        <v>641</v>
      </c>
      <c r="CM36" t="s">
        <v>641</v>
      </c>
      <c r="CN36" t="s">
        <v>641</v>
      </c>
      <c r="CO36" t="s">
        <v>641</v>
      </c>
      <c r="CP36" t="s">
        <v>408</v>
      </c>
      <c r="CQ36" t="s">
        <v>641</v>
      </c>
      <c r="CR36" t="s">
        <v>641</v>
      </c>
      <c r="CS36" t="s">
        <v>257</v>
      </c>
      <c r="CT36" t="s">
        <v>257</v>
      </c>
      <c r="CU36" t="s">
        <v>241</v>
      </c>
      <c r="CV36" t="s">
        <v>761</v>
      </c>
      <c r="CW36" t="s">
        <v>752</v>
      </c>
      <c r="CX36" t="s">
        <v>7</v>
      </c>
      <c r="CY36" t="s">
        <v>242</v>
      </c>
      <c r="CZ36" t="s">
        <v>730</v>
      </c>
      <c r="DB36" t="s">
        <v>7</v>
      </c>
      <c r="DC36" t="s">
        <v>641</v>
      </c>
    </row>
    <row r="37" spans="1:109" x14ac:dyDescent="0.25">
      <c r="A37" t="s">
        <v>516</v>
      </c>
      <c r="B37" t="s">
        <v>479</v>
      </c>
      <c r="C37">
        <v>5</v>
      </c>
      <c r="D37" s="33">
        <v>44431</v>
      </c>
      <c r="E37" t="s">
        <v>494</v>
      </c>
      <c r="F37" t="s">
        <v>340</v>
      </c>
      <c r="G37" t="s">
        <v>495</v>
      </c>
      <c r="H37" t="s">
        <v>496</v>
      </c>
      <c r="I37" t="s">
        <v>344</v>
      </c>
      <c r="J37" t="s">
        <v>245</v>
      </c>
      <c r="K37" t="s">
        <v>229</v>
      </c>
      <c r="L37" t="s">
        <v>246</v>
      </c>
      <c r="M37" t="s">
        <v>248</v>
      </c>
      <c r="N37">
        <v>3.2</v>
      </c>
      <c r="O37" t="s">
        <v>497</v>
      </c>
      <c r="P37" t="s">
        <v>232</v>
      </c>
      <c r="Q37" t="s">
        <v>232</v>
      </c>
      <c r="R37" t="s">
        <v>232</v>
      </c>
      <c r="S37">
        <v>50</v>
      </c>
      <c r="T37" t="s">
        <v>498</v>
      </c>
      <c r="U37">
        <v>45</v>
      </c>
      <c r="V37" t="s">
        <v>299</v>
      </c>
      <c r="W37">
        <v>150</v>
      </c>
      <c r="X37" t="s">
        <v>462</v>
      </c>
      <c r="AH37" t="s">
        <v>714</v>
      </c>
      <c r="AI37" t="s">
        <v>516</v>
      </c>
      <c r="AJ37" t="s">
        <v>3</v>
      </c>
      <c r="AL37" t="s">
        <v>543</v>
      </c>
      <c r="AM37" t="s">
        <v>475</v>
      </c>
      <c r="AN37">
        <v>2</v>
      </c>
      <c r="AO37" t="s">
        <v>283</v>
      </c>
      <c r="AP37" t="s">
        <v>525</v>
      </c>
      <c r="AS37">
        <v>17</v>
      </c>
      <c r="AT37">
        <v>15</v>
      </c>
      <c r="AU37">
        <v>32</v>
      </c>
      <c r="AW37" t="s">
        <v>253</v>
      </c>
      <c r="AX37" t="s">
        <v>551</v>
      </c>
      <c r="AY37" t="s">
        <v>254</v>
      </c>
      <c r="AZ37" t="s">
        <v>290</v>
      </c>
      <c r="BA37" t="s">
        <v>278</v>
      </c>
      <c r="BB37">
        <v>15</v>
      </c>
      <c r="BC37">
        <v>15</v>
      </c>
      <c r="BF37" t="s">
        <v>525</v>
      </c>
      <c r="BG37" t="s">
        <v>308</v>
      </c>
      <c r="BH37">
        <v>15</v>
      </c>
      <c r="BI37" t="s">
        <v>562</v>
      </c>
      <c r="BJ37" t="s">
        <v>562</v>
      </c>
      <c r="BK37" t="s">
        <v>222</v>
      </c>
      <c r="BL37" t="s">
        <v>562</v>
      </c>
      <c r="BM37" t="s">
        <v>543</v>
      </c>
      <c r="BN37">
        <v>3</v>
      </c>
      <c r="BO37">
        <v>3</v>
      </c>
      <c r="BP37">
        <v>4</v>
      </c>
      <c r="BQ37">
        <v>5</v>
      </c>
      <c r="BR37">
        <v>4</v>
      </c>
      <c r="BS37">
        <v>5.6</v>
      </c>
      <c r="BT37" s="5">
        <v>5</v>
      </c>
      <c r="BU37" s="5" t="s">
        <v>691</v>
      </c>
      <c r="BV37">
        <v>120</v>
      </c>
      <c r="BX37"/>
      <c r="BZ37" s="3"/>
      <c r="CA37" t="s">
        <v>3</v>
      </c>
      <c r="CB37" t="s">
        <v>239</v>
      </c>
      <c r="CD37" t="s">
        <v>239</v>
      </c>
      <c r="CE37" t="s">
        <v>244</v>
      </c>
      <c r="CH37" t="s">
        <v>467</v>
      </c>
      <c r="CI37" t="s">
        <v>467</v>
      </c>
      <c r="CJ37" t="s">
        <v>467</v>
      </c>
      <c r="CK37" t="s">
        <v>467</v>
      </c>
      <c r="CL37" t="s">
        <v>467</v>
      </c>
      <c r="CM37" t="s">
        <v>467</v>
      </c>
      <c r="CN37" t="s">
        <v>467</v>
      </c>
      <c r="CO37" t="s">
        <v>467</v>
      </c>
      <c r="CP37" t="s">
        <v>408</v>
      </c>
      <c r="CQ37" t="s">
        <v>467</v>
      </c>
      <c r="CR37" t="s">
        <v>467</v>
      </c>
      <c r="CS37" t="s">
        <v>223</v>
      </c>
      <c r="CT37" t="s">
        <v>223</v>
      </c>
      <c r="CU37" t="s">
        <v>241</v>
      </c>
      <c r="CV37" t="s">
        <v>774</v>
      </c>
      <c r="CW37" t="s">
        <v>745</v>
      </c>
      <c r="CX37" t="s">
        <v>7</v>
      </c>
      <c r="CY37" t="s">
        <v>271</v>
      </c>
      <c r="CZ37" t="s">
        <v>773</v>
      </c>
      <c r="DA37" t="s">
        <v>729</v>
      </c>
      <c r="DB37" t="s">
        <v>7</v>
      </c>
      <c r="DC37" t="s">
        <v>467</v>
      </c>
      <c r="DE37" t="s">
        <v>241</v>
      </c>
    </row>
    <row r="38" spans="1:109" x14ac:dyDescent="0.25">
      <c r="A38" t="s">
        <v>516</v>
      </c>
      <c r="B38" t="s">
        <v>479</v>
      </c>
      <c r="C38">
        <v>5</v>
      </c>
      <c r="D38" s="33">
        <v>44431</v>
      </c>
      <c r="E38" t="s">
        <v>494</v>
      </c>
      <c r="F38" t="s">
        <v>340</v>
      </c>
      <c r="G38" t="s">
        <v>495</v>
      </c>
      <c r="H38" t="s">
        <v>496</v>
      </c>
      <c r="I38" t="s">
        <v>344</v>
      </c>
      <c r="J38" t="s">
        <v>245</v>
      </c>
      <c r="K38" t="s">
        <v>229</v>
      </c>
      <c r="L38" t="s">
        <v>246</v>
      </c>
      <c r="M38" t="s">
        <v>248</v>
      </c>
      <c r="N38">
        <v>3.2</v>
      </c>
      <c r="O38" t="s">
        <v>497</v>
      </c>
      <c r="P38" t="s">
        <v>232</v>
      </c>
      <c r="Q38" t="s">
        <v>232</v>
      </c>
      <c r="R38" t="s">
        <v>232</v>
      </c>
      <c r="S38">
        <v>50</v>
      </c>
      <c r="T38" t="s">
        <v>498</v>
      </c>
      <c r="U38">
        <v>45</v>
      </c>
      <c r="V38" t="s">
        <v>299</v>
      </c>
      <c r="W38">
        <v>150</v>
      </c>
      <c r="X38" t="s">
        <v>462</v>
      </c>
      <c r="AH38" t="s">
        <v>713</v>
      </c>
      <c r="AI38" t="s">
        <v>516</v>
      </c>
      <c r="AM38" t="s">
        <v>475</v>
      </c>
      <c r="AN38">
        <v>1</v>
      </c>
      <c r="AO38" t="s">
        <v>264</v>
      </c>
      <c r="AP38" t="s">
        <v>542</v>
      </c>
      <c r="AS38">
        <v>15</v>
      </c>
      <c r="AT38">
        <v>0</v>
      </c>
      <c r="AU38">
        <v>15</v>
      </c>
      <c r="BF38" t="s">
        <v>700</v>
      </c>
      <c r="BG38" t="s">
        <v>308</v>
      </c>
      <c r="BR38"/>
      <c r="BS38"/>
      <c r="BT38" s="5"/>
      <c r="BU38" s="5"/>
      <c r="BX38"/>
      <c r="BZ38" s="3"/>
    </row>
    <row r="39" spans="1:109" x14ac:dyDescent="0.25">
      <c r="A39" t="s">
        <v>517</v>
      </c>
      <c r="B39" t="s">
        <v>479</v>
      </c>
      <c r="C39">
        <v>6</v>
      </c>
      <c r="D39" s="33">
        <v>44432</v>
      </c>
      <c r="E39" t="s">
        <v>499</v>
      </c>
      <c r="F39" t="s">
        <v>340</v>
      </c>
      <c r="G39" t="s">
        <v>500</v>
      </c>
      <c r="H39" t="s">
        <v>501</v>
      </c>
      <c r="I39" t="s">
        <v>344</v>
      </c>
      <c r="J39" t="s">
        <v>260</v>
      </c>
      <c r="K39" t="s">
        <v>229</v>
      </c>
      <c r="L39" t="s">
        <v>246</v>
      </c>
      <c r="M39" t="s">
        <v>261</v>
      </c>
      <c r="N39">
        <v>10</v>
      </c>
      <c r="O39" t="s">
        <v>502</v>
      </c>
      <c r="Q39" t="s">
        <v>232</v>
      </c>
      <c r="R39" t="s">
        <v>232</v>
      </c>
      <c r="S39">
        <v>60</v>
      </c>
      <c r="T39" t="s">
        <v>503</v>
      </c>
      <c r="U39">
        <v>45</v>
      </c>
      <c r="V39" t="s">
        <v>255</v>
      </c>
      <c r="W39">
        <v>105</v>
      </c>
      <c r="X39" t="s">
        <v>462</v>
      </c>
      <c r="AH39" t="s">
        <v>717</v>
      </c>
      <c r="AI39" t="s">
        <v>517</v>
      </c>
      <c r="AJ39" t="s">
        <v>524</v>
      </c>
      <c r="AK39" t="s">
        <v>739</v>
      </c>
      <c r="AM39" t="s">
        <v>475</v>
      </c>
      <c r="AN39">
        <v>1</v>
      </c>
      <c r="AO39" t="s">
        <v>283</v>
      </c>
      <c r="AP39" t="s">
        <v>527</v>
      </c>
      <c r="AS39">
        <v>3</v>
      </c>
      <c r="AT39">
        <v>0</v>
      </c>
      <c r="AU39">
        <v>3</v>
      </c>
      <c r="AW39" t="s">
        <v>266</v>
      </c>
      <c r="AX39" t="s">
        <v>552</v>
      </c>
      <c r="AY39" t="s">
        <v>267</v>
      </c>
      <c r="AZ39" t="s">
        <v>295</v>
      </c>
      <c r="BA39" t="s">
        <v>221</v>
      </c>
      <c r="BB39">
        <v>16</v>
      </c>
      <c r="BC39">
        <v>16</v>
      </c>
      <c r="BF39" t="s">
        <v>527</v>
      </c>
      <c r="BG39" t="s">
        <v>308</v>
      </c>
      <c r="BH39">
        <v>16</v>
      </c>
      <c r="BI39" t="s">
        <v>464</v>
      </c>
      <c r="BJ39" t="s">
        <v>464</v>
      </c>
      <c r="BK39" t="s">
        <v>193</v>
      </c>
      <c r="BL39" t="s">
        <v>464</v>
      </c>
      <c r="BR39"/>
      <c r="BS39"/>
      <c r="BT39" s="5"/>
      <c r="BU39" s="5"/>
      <c r="BW39" t="s">
        <v>739</v>
      </c>
      <c r="BX39">
        <v>4</v>
      </c>
      <c r="BY39" t="s">
        <v>8</v>
      </c>
      <c r="BZ39" s="3">
        <v>66</v>
      </c>
      <c r="CA39" t="s">
        <v>524</v>
      </c>
      <c r="CB39" t="s">
        <v>412</v>
      </c>
      <c r="CD39" t="s">
        <v>437</v>
      </c>
      <c r="CE39" t="s">
        <v>226</v>
      </c>
      <c r="CH39" t="s">
        <v>639</v>
      </c>
      <c r="CI39" t="s">
        <v>639</v>
      </c>
      <c r="CJ39" t="s">
        <v>639</v>
      </c>
      <c r="CK39" t="s">
        <v>639</v>
      </c>
      <c r="CL39" t="s">
        <v>639</v>
      </c>
      <c r="CM39" t="s">
        <v>639</v>
      </c>
      <c r="CN39" t="s">
        <v>639</v>
      </c>
      <c r="CO39" t="s">
        <v>639</v>
      </c>
      <c r="CP39" t="s">
        <v>409</v>
      </c>
      <c r="CQ39" t="s">
        <v>639</v>
      </c>
      <c r="CR39" t="s">
        <v>639</v>
      </c>
      <c r="CS39" t="s">
        <v>240</v>
      </c>
      <c r="CT39" t="s">
        <v>240</v>
      </c>
      <c r="CU39" t="s">
        <v>7</v>
      </c>
      <c r="CV39" t="s">
        <v>751</v>
      </c>
      <c r="CW39" t="s">
        <v>746</v>
      </c>
      <c r="CX39" t="s">
        <v>241</v>
      </c>
      <c r="CY39" t="s">
        <v>258</v>
      </c>
      <c r="CZ39" t="s">
        <v>729</v>
      </c>
      <c r="DA39" t="s">
        <v>225</v>
      </c>
      <c r="DB39" t="s">
        <v>241</v>
      </c>
      <c r="DC39" t="s">
        <v>639</v>
      </c>
    </row>
    <row r="40" spans="1:109" x14ac:dyDescent="0.25">
      <c r="A40" t="s">
        <v>517</v>
      </c>
      <c r="B40" t="s">
        <v>479</v>
      </c>
      <c r="C40">
        <v>6</v>
      </c>
      <c r="D40" s="33">
        <v>44432</v>
      </c>
      <c r="E40" t="s">
        <v>499</v>
      </c>
      <c r="F40" t="s">
        <v>340</v>
      </c>
      <c r="G40" t="s">
        <v>500</v>
      </c>
      <c r="H40" t="s">
        <v>501</v>
      </c>
      <c r="I40" t="s">
        <v>344</v>
      </c>
      <c r="J40" t="s">
        <v>260</v>
      </c>
      <c r="K40" t="s">
        <v>229</v>
      </c>
      <c r="L40" t="s">
        <v>246</v>
      </c>
      <c r="M40" t="s">
        <v>261</v>
      </c>
      <c r="N40">
        <v>10</v>
      </c>
      <c r="O40" t="s">
        <v>502</v>
      </c>
      <c r="Q40" t="s">
        <v>232</v>
      </c>
      <c r="R40" t="s">
        <v>232</v>
      </c>
      <c r="S40">
        <v>60</v>
      </c>
      <c r="T40" t="s">
        <v>503</v>
      </c>
      <c r="U40">
        <v>45</v>
      </c>
      <c r="V40" t="s">
        <v>255</v>
      </c>
      <c r="W40">
        <v>105</v>
      </c>
      <c r="X40" t="s">
        <v>462</v>
      </c>
      <c r="AH40" t="s">
        <v>716</v>
      </c>
      <c r="AI40" t="s">
        <v>517</v>
      </c>
      <c r="AJ40" t="s">
        <v>524</v>
      </c>
      <c r="AM40" t="s">
        <v>475</v>
      </c>
      <c r="AN40">
        <v>2</v>
      </c>
      <c r="AO40" t="s">
        <v>283</v>
      </c>
      <c r="AP40" t="s">
        <v>544</v>
      </c>
      <c r="AS40">
        <v>1</v>
      </c>
      <c r="AT40">
        <v>3</v>
      </c>
      <c r="AU40">
        <v>4</v>
      </c>
      <c r="AW40" t="s">
        <v>218</v>
      </c>
      <c r="AX40" t="s">
        <v>463</v>
      </c>
      <c r="AY40" t="s">
        <v>219</v>
      </c>
      <c r="AZ40" t="s">
        <v>220</v>
      </c>
      <c r="BA40" t="s">
        <v>238</v>
      </c>
      <c r="BB40">
        <v>17</v>
      </c>
      <c r="BC40">
        <v>17</v>
      </c>
      <c r="BF40" t="s">
        <v>544</v>
      </c>
      <c r="BG40" t="s">
        <v>308</v>
      </c>
      <c r="BH40">
        <v>17</v>
      </c>
      <c r="BI40" t="s">
        <v>465</v>
      </c>
      <c r="BJ40" t="s">
        <v>465</v>
      </c>
      <c r="BK40" t="s">
        <v>222</v>
      </c>
      <c r="BL40" t="s">
        <v>465</v>
      </c>
      <c r="BR40"/>
      <c r="BS40"/>
      <c r="BT40" s="5"/>
      <c r="BU40" s="5"/>
      <c r="BX40"/>
      <c r="BZ40" s="3"/>
      <c r="CA40" t="s">
        <v>524</v>
      </c>
      <c r="CB40" t="s">
        <v>412</v>
      </c>
      <c r="CD40" t="s">
        <v>437</v>
      </c>
      <c r="CE40" t="s">
        <v>226</v>
      </c>
      <c r="CH40" t="s">
        <v>639</v>
      </c>
      <c r="CI40" t="s">
        <v>639</v>
      </c>
      <c r="CJ40" t="s">
        <v>639</v>
      </c>
      <c r="CK40" t="s">
        <v>639</v>
      </c>
      <c r="CL40" t="s">
        <v>639</v>
      </c>
      <c r="CM40" t="s">
        <v>639</v>
      </c>
      <c r="CN40" t="s">
        <v>639</v>
      </c>
      <c r="CO40" t="s">
        <v>639</v>
      </c>
      <c r="CP40" t="s">
        <v>409</v>
      </c>
      <c r="CQ40" t="s">
        <v>639</v>
      </c>
      <c r="CR40" t="s">
        <v>639</v>
      </c>
      <c r="CS40" t="s">
        <v>240</v>
      </c>
      <c r="CT40" t="s">
        <v>240</v>
      </c>
      <c r="CU40" t="s">
        <v>7</v>
      </c>
      <c r="CV40" t="s">
        <v>751</v>
      </c>
      <c r="CW40" t="s">
        <v>746</v>
      </c>
      <c r="CX40" t="s">
        <v>241</v>
      </c>
      <c r="CY40" t="s">
        <v>258</v>
      </c>
      <c r="CZ40" t="s">
        <v>729</v>
      </c>
      <c r="DA40" t="s">
        <v>225</v>
      </c>
      <c r="DB40" t="s">
        <v>241</v>
      </c>
      <c r="DC40" t="s">
        <v>639</v>
      </c>
    </row>
    <row r="41" spans="1:109" x14ac:dyDescent="0.25">
      <c r="A41" t="s">
        <v>517</v>
      </c>
      <c r="B41" t="s">
        <v>479</v>
      </c>
      <c r="C41">
        <v>6</v>
      </c>
      <c r="D41" s="33">
        <v>44432</v>
      </c>
      <c r="E41" t="s">
        <v>499</v>
      </c>
      <c r="F41" t="s">
        <v>340</v>
      </c>
      <c r="G41" t="s">
        <v>500</v>
      </c>
      <c r="H41" t="s">
        <v>501</v>
      </c>
      <c r="I41" t="s">
        <v>344</v>
      </c>
      <c r="J41" t="s">
        <v>260</v>
      </c>
      <c r="K41" t="s">
        <v>229</v>
      </c>
      <c r="L41" t="s">
        <v>246</v>
      </c>
      <c r="M41" t="s">
        <v>261</v>
      </c>
      <c r="N41">
        <v>10</v>
      </c>
      <c r="O41" t="s">
        <v>502</v>
      </c>
      <c r="Q41" t="s">
        <v>232</v>
      </c>
      <c r="R41" t="s">
        <v>232</v>
      </c>
      <c r="S41">
        <v>60</v>
      </c>
      <c r="T41" t="s">
        <v>503</v>
      </c>
      <c r="U41">
        <v>45</v>
      </c>
      <c r="V41" t="s">
        <v>255</v>
      </c>
      <c r="W41">
        <v>105</v>
      </c>
      <c r="X41" t="s">
        <v>462</v>
      </c>
      <c r="AH41" t="s">
        <v>715</v>
      </c>
      <c r="AI41" t="s">
        <v>517</v>
      </c>
      <c r="AJ41" t="s">
        <v>3</v>
      </c>
      <c r="AM41" t="s">
        <v>475</v>
      </c>
      <c r="AN41">
        <v>3</v>
      </c>
      <c r="AO41" t="s">
        <v>283</v>
      </c>
      <c r="AP41" t="s">
        <v>545</v>
      </c>
      <c r="AS41">
        <v>7</v>
      </c>
      <c r="AT41">
        <v>4</v>
      </c>
      <c r="AU41">
        <v>11</v>
      </c>
      <c r="AW41" t="s">
        <v>235</v>
      </c>
      <c r="AX41" t="s">
        <v>448</v>
      </c>
      <c r="AY41" t="s">
        <v>236</v>
      </c>
      <c r="AZ41" t="s">
        <v>237</v>
      </c>
      <c r="BA41" t="s">
        <v>256</v>
      </c>
      <c r="BB41">
        <v>18</v>
      </c>
      <c r="BC41">
        <v>18</v>
      </c>
      <c r="BF41" t="s">
        <v>545</v>
      </c>
      <c r="BG41" t="s">
        <v>308</v>
      </c>
      <c r="BH41">
        <v>18</v>
      </c>
      <c r="BI41" t="s">
        <v>562</v>
      </c>
      <c r="BJ41" t="s">
        <v>562</v>
      </c>
      <c r="BK41" t="s">
        <v>193</v>
      </c>
      <c r="BL41" t="s">
        <v>562</v>
      </c>
      <c r="BR41"/>
      <c r="BS41"/>
      <c r="BT41" s="5"/>
      <c r="BU41" s="5"/>
      <c r="BX41"/>
      <c r="BZ41" s="3"/>
      <c r="CA41" t="s">
        <v>3</v>
      </c>
      <c r="CB41" t="s">
        <v>239</v>
      </c>
      <c r="CD41" t="s">
        <v>239</v>
      </c>
      <c r="CE41" t="s">
        <v>244</v>
      </c>
      <c r="CH41" t="s">
        <v>467</v>
      </c>
      <c r="CI41" t="s">
        <v>467</v>
      </c>
      <c r="CJ41" t="s">
        <v>467</v>
      </c>
      <c r="CK41" t="s">
        <v>467</v>
      </c>
      <c r="CL41" t="s">
        <v>467</v>
      </c>
      <c r="CM41" t="s">
        <v>467</v>
      </c>
      <c r="CN41" t="s">
        <v>467</v>
      </c>
      <c r="CO41" t="s">
        <v>467</v>
      </c>
      <c r="CP41" t="s">
        <v>408</v>
      </c>
      <c r="CQ41" t="s">
        <v>467</v>
      </c>
      <c r="CR41" t="s">
        <v>467</v>
      </c>
      <c r="CS41" t="s">
        <v>223</v>
      </c>
      <c r="CT41" t="s">
        <v>223</v>
      </c>
      <c r="CU41" t="s">
        <v>241</v>
      </c>
      <c r="CV41" t="s">
        <v>774</v>
      </c>
      <c r="CW41" t="s">
        <v>745</v>
      </c>
      <c r="CX41" t="s">
        <v>7</v>
      </c>
      <c r="CY41" t="s">
        <v>271</v>
      </c>
      <c r="CZ41" t="s">
        <v>773</v>
      </c>
      <c r="DA41" t="s">
        <v>729</v>
      </c>
      <c r="DB41" t="s">
        <v>7</v>
      </c>
      <c r="DC41" t="s">
        <v>467</v>
      </c>
      <c r="DE41" t="s">
        <v>241</v>
      </c>
    </row>
    <row r="42" spans="1:109" x14ac:dyDescent="0.25">
      <c r="A42" t="s">
        <v>518</v>
      </c>
      <c r="B42" t="s">
        <v>479</v>
      </c>
      <c r="C42">
        <v>7</v>
      </c>
      <c r="D42" s="33">
        <v>44433</v>
      </c>
      <c r="E42" t="s">
        <v>504</v>
      </c>
      <c r="F42" t="s">
        <v>340</v>
      </c>
      <c r="G42" t="s">
        <v>505</v>
      </c>
      <c r="H42" t="s">
        <v>506</v>
      </c>
      <c r="I42" t="s">
        <v>344</v>
      </c>
      <c r="J42" t="s">
        <v>291</v>
      </c>
      <c r="L42" t="s">
        <v>228</v>
      </c>
      <c r="N42">
        <v>32</v>
      </c>
      <c r="O42" t="s">
        <v>507</v>
      </c>
      <c r="R42" t="s">
        <v>232</v>
      </c>
      <c r="S42">
        <v>70</v>
      </c>
      <c r="T42" t="s">
        <v>508</v>
      </c>
      <c r="U42">
        <v>45</v>
      </c>
      <c r="V42" t="s">
        <v>299</v>
      </c>
      <c r="W42">
        <v>60</v>
      </c>
      <c r="Z42" t="s">
        <v>274</v>
      </c>
      <c r="AE42" t="s">
        <v>293</v>
      </c>
      <c r="AH42" t="s">
        <v>727</v>
      </c>
      <c r="AI42" t="s">
        <v>518</v>
      </c>
      <c r="AJ42" t="s">
        <v>524</v>
      </c>
      <c r="AM42" t="s">
        <v>475</v>
      </c>
      <c r="AN42">
        <v>4</v>
      </c>
      <c r="AO42" t="s">
        <v>233</v>
      </c>
      <c r="AP42" t="s">
        <v>525</v>
      </c>
      <c r="AS42">
        <v>8</v>
      </c>
      <c r="AT42">
        <v>24</v>
      </c>
      <c r="AU42">
        <v>32</v>
      </c>
      <c r="AW42" t="s">
        <v>253</v>
      </c>
      <c r="AX42" t="s">
        <v>551</v>
      </c>
      <c r="AY42" t="s">
        <v>254</v>
      </c>
      <c r="AZ42" t="s">
        <v>290</v>
      </c>
      <c r="BA42" t="s">
        <v>278</v>
      </c>
      <c r="BB42" t="s">
        <v>555</v>
      </c>
      <c r="BC42" t="s">
        <v>555</v>
      </c>
      <c r="BE42" t="s">
        <v>276</v>
      </c>
      <c r="BF42" t="s">
        <v>525</v>
      </c>
      <c r="BG42" t="s">
        <v>308</v>
      </c>
      <c r="BH42">
        <v>21</v>
      </c>
      <c r="BI42" t="s">
        <v>562</v>
      </c>
      <c r="BJ42" t="s">
        <v>562</v>
      </c>
      <c r="BK42" t="s">
        <v>222</v>
      </c>
      <c r="BL42" t="s">
        <v>562</v>
      </c>
      <c r="BR42"/>
      <c r="BS42"/>
      <c r="BT42" s="5"/>
      <c r="BU42" s="5"/>
      <c r="BX42"/>
      <c r="BZ42" s="3"/>
      <c r="CA42" t="s">
        <v>524</v>
      </c>
      <c r="CB42" t="s">
        <v>412</v>
      </c>
      <c r="CD42" t="s">
        <v>437</v>
      </c>
      <c r="CE42" t="s">
        <v>226</v>
      </c>
      <c r="CH42" t="s">
        <v>639</v>
      </c>
      <c r="CI42" t="s">
        <v>639</v>
      </c>
      <c r="CJ42" t="s">
        <v>639</v>
      </c>
      <c r="CK42" t="s">
        <v>639</v>
      </c>
      <c r="CL42" t="s">
        <v>639</v>
      </c>
      <c r="CM42" t="s">
        <v>639</v>
      </c>
      <c r="CN42" t="s">
        <v>639</v>
      </c>
      <c r="CO42" t="s">
        <v>639</v>
      </c>
      <c r="CP42" t="s">
        <v>409</v>
      </c>
      <c r="CQ42" t="s">
        <v>639</v>
      </c>
      <c r="CR42" t="s">
        <v>639</v>
      </c>
      <c r="CS42" t="s">
        <v>240</v>
      </c>
      <c r="CT42" t="s">
        <v>240</v>
      </c>
      <c r="CU42" t="s">
        <v>7</v>
      </c>
      <c r="CV42" t="s">
        <v>751</v>
      </c>
      <c r="CW42" t="s">
        <v>746</v>
      </c>
      <c r="CX42" t="s">
        <v>241</v>
      </c>
      <c r="CY42" t="s">
        <v>258</v>
      </c>
      <c r="CZ42" t="s">
        <v>729</v>
      </c>
      <c r="DA42" t="s">
        <v>225</v>
      </c>
      <c r="DB42" t="s">
        <v>241</v>
      </c>
      <c r="DC42" t="s">
        <v>639</v>
      </c>
    </row>
    <row r="43" spans="1:109" x14ac:dyDescent="0.25">
      <c r="A43" t="s">
        <v>518</v>
      </c>
      <c r="B43" t="s">
        <v>479</v>
      </c>
      <c r="C43">
        <v>7</v>
      </c>
      <c r="D43" s="33">
        <v>44433</v>
      </c>
      <c r="E43" t="s">
        <v>504</v>
      </c>
      <c r="F43" t="s">
        <v>340</v>
      </c>
      <c r="G43" t="s">
        <v>505</v>
      </c>
      <c r="H43" t="s">
        <v>506</v>
      </c>
      <c r="I43" t="s">
        <v>344</v>
      </c>
      <c r="J43" t="s">
        <v>291</v>
      </c>
      <c r="L43" t="s">
        <v>228</v>
      </c>
      <c r="N43">
        <v>32</v>
      </c>
      <c r="O43" t="s">
        <v>507</v>
      </c>
      <c r="R43" t="s">
        <v>232</v>
      </c>
      <c r="S43">
        <v>70</v>
      </c>
      <c r="T43" t="s">
        <v>508</v>
      </c>
      <c r="U43">
        <v>45</v>
      </c>
      <c r="V43" t="s">
        <v>299</v>
      </c>
      <c r="W43">
        <v>60</v>
      </c>
      <c r="Z43" t="s">
        <v>274</v>
      </c>
      <c r="AE43" t="s">
        <v>293</v>
      </c>
      <c r="AH43" t="s">
        <v>728</v>
      </c>
      <c r="AI43" t="s">
        <v>518</v>
      </c>
      <c r="AJ43" t="s">
        <v>526</v>
      </c>
      <c r="AK43" t="s">
        <v>741</v>
      </c>
      <c r="AM43" t="s">
        <v>475</v>
      </c>
      <c r="AN43">
        <v>5</v>
      </c>
      <c r="AO43" t="s">
        <v>233</v>
      </c>
      <c r="AP43" t="s">
        <v>545</v>
      </c>
      <c r="AS43">
        <v>7</v>
      </c>
      <c r="AT43">
        <v>32</v>
      </c>
      <c r="AU43">
        <v>39</v>
      </c>
      <c r="AW43" t="s">
        <v>266</v>
      </c>
      <c r="AX43" t="s">
        <v>552</v>
      </c>
      <c r="AY43" t="s">
        <v>267</v>
      </c>
      <c r="AZ43" t="s">
        <v>295</v>
      </c>
      <c r="BA43" t="s">
        <v>221</v>
      </c>
      <c r="BB43" t="s">
        <v>556</v>
      </c>
      <c r="BC43" t="s">
        <v>556</v>
      </c>
      <c r="BE43" t="s">
        <v>252</v>
      </c>
      <c r="BF43" t="s">
        <v>545</v>
      </c>
      <c r="BG43" t="s">
        <v>308</v>
      </c>
      <c r="BH43">
        <v>22</v>
      </c>
      <c r="BI43" t="s">
        <v>464</v>
      </c>
      <c r="BJ43" t="s">
        <v>464</v>
      </c>
      <c r="BK43" t="s">
        <v>193</v>
      </c>
      <c r="BL43" t="s">
        <v>464</v>
      </c>
      <c r="BR43"/>
      <c r="BS43"/>
      <c r="BT43" s="5"/>
      <c r="BU43" s="5"/>
      <c r="BW43" t="s">
        <v>741</v>
      </c>
      <c r="BX43">
        <v>6</v>
      </c>
      <c r="BZ43" s="3"/>
      <c r="CA43" t="s">
        <v>526</v>
      </c>
      <c r="CB43" t="s">
        <v>437</v>
      </c>
      <c r="CD43" t="s">
        <v>239</v>
      </c>
      <c r="CE43" t="s">
        <v>226</v>
      </c>
      <c r="CF43" t="s">
        <v>226</v>
      </c>
      <c r="CH43" t="s">
        <v>641</v>
      </c>
      <c r="CI43" t="s">
        <v>641</v>
      </c>
      <c r="CJ43" t="s">
        <v>641</v>
      </c>
      <c r="CK43" t="s">
        <v>641</v>
      </c>
      <c r="CL43" t="s">
        <v>641</v>
      </c>
      <c r="CM43" t="s">
        <v>641</v>
      </c>
      <c r="CN43" t="s">
        <v>641</v>
      </c>
      <c r="CO43" t="s">
        <v>641</v>
      </c>
      <c r="CP43" t="s">
        <v>408</v>
      </c>
      <c r="CQ43" t="s">
        <v>641</v>
      </c>
      <c r="CR43" t="s">
        <v>641</v>
      </c>
      <c r="CS43" t="s">
        <v>257</v>
      </c>
      <c r="CT43" t="s">
        <v>257</v>
      </c>
      <c r="CU43" t="s">
        <v>241</v>
      </c>
      <c r="CV43" t="s">
        <v>761</v>
      </c>
      <c r="CW43" t="s">
        <v>752</v>
      </c>
      <c r="CX43" t="s">
        <v>7</v>
      </c>
      <c r="CY43" t="s">
        <v>242</v>
      </c>
      <c r="CZ43" t="s">
        <v>730</v>
      </c>
      <c r="DB43" t="s">
        <v>7</v>
      </c>
      <c r="DC43" t="s">
        <v>641</v>
      </c>
    </row>
    <row r="44" spans="1:109" x14ac:dyDescent="0.25">
      <c r="A44" t="s">
        <v>518</v>
      </c>
      <c r="B44" t="s">
        <v>479</v>
      </c>
      <c r="C44">
        <v>7</v>
      </c>
      <c r="D44" s="33">
        <v>44433</v>
      </c>
      <c r="E44" t="s">
        <v>504</v>
      </c>
      <c r="F44" t="s">
        <v>340</v>
      </c>
      <c r="G44" t="s">
        <v>505</v>
      </c>
      <c r="H44" t="s">
        <v>506</v>
      </c>
      <c r="I44" t="s">
        <v>344</v>
      </c>
      <c r="J44" t="s">
        <v>291</v>
      </c>
      <c r="L44" t="s">
        <v>228</v>
      </c>
      <c r="N44">
        <v>32</v>
      </c>
      <c r="O44" t="s">
        <v>507</v>
      </c>
      <c r="R44" t="s">
        <v>232</v>
      </c>
      <c r="S44">
        <v>70</v>
      </c>
      <c r="T44" t="s">
        <v>508</v>
      </c>
      <c r="U44">
        <v>45</v>
      </c>
      <c r="V44" t="s">
        <v>299</v>
      </c>
      <c r="W44">
        <v>60</v>
      </c>
      <c r="Z44" t="s">
        <v>274</v>
      </c>
      <c r="AE44" t="s">
        <v>293</v>
      </c>
      <c r="AH44" t="s">
        <v>726</v>
      </c>
      <c r="AI44" t="s">
        <v>518</v>
      </c>
      <c r="AJ44" t="s">
        <v>529</v>
      </c>
      <c r="AM44" t="s">
        <v>475</v>
      </c>
      <c r="AN44">
        <v>6</v>
      </c>
      <c r="AO44" t="s">
        <v>233</v>
      </c>
      <c r="AP44" t="s">
        <v>545</v>
      </c>
      <c r="AS44">
        <v>9</v>
      </c>
      <c r="AT44">
        <v>39</v>
      </c>
      <c r="AU44">
        <v>48</v>
      </c>
      <c r="AW44" t="s">
        <v>218</v>
      </c>
      <c r="AX44" t="s">
        <v>463</v>
      </c>
      <c r="AY44" t="s">
        <v>219</v>
      </c>
      <c r="AZ44" t="s">
        <v>220</v>
      </c>
      <c r="BA44" t="s">
        <v>238</v>
      </c>
      <c r="BB44" t="s">
        <v>557</v>
      </c>
      <c r="BC44" t="s">
        <v>557</v>
      </c>
      <c r="BE44" t="s">
        <v>217</v>
      </c>
      <c r="BF44" t="s">
        <v>545</v>
      </c>
      <c r="BG44" t="s">
        <v>308</v>
      </c>
      <c r="BH44">
        <v>23</v>
      </c>
      <c r="BI44" t="s">
        <v>465</v>
      </c>
      <c r="BJ44" t="s">
        <v>465</v>
      </c>
      <c r="BK44" t="s">
        <v>222</v>
      </c>
      <c r="BL44" t="s">
        <v>465</v>
      </c>
      <c r="BR44"/>
      <c r="BS44"/>
      <c r="BT44" s="5"/>
      <c r="BU44" s="5"/>
      <c r="BX44"/>
      <c r="BZ44" s="3"/>
      <c r="CA44" t="s">
        <v>529</v>
      </c>
      <c r="CB44" t="s">
        <v>6</v>
      </c>
      <c r="CC44" t="s">
        <v>178</v>
      </c>
      <c r="CD44" t="s">
        <v>6</v>
      </c>
      <c r="CE44" t="s">
        <v>244</v>
      </c>
      <c r="CH44" t="s">
        <v>647</v>
      </c>
      <c r="CI44" t="s">
        <v>647</v>
      </c>
      <c r="CJ44" t="s">
        <v>647</v>
      </c>
      <c r="CK44" t="s">
        <v>647</v>
      </c>
      <c r="CL44" t="s">
        <v>647</v>
      </c>
      <c r="CM44" t="s">
        <v>647</v>
      </c>
      <c r="CN44" t="s">
        <v>647</v>
      </c>
      <c r="CO44" t="s">
        <v>647</v>
      </c>
      <c r="CP44" t="s">
        <v>409</v>
      </c>
      <c r="CQ44" t="s">
        <v>647</v>
      </c>
      <c r="CR44" t="s">
        <v>647</v>
      </c>
      <c r="CS44" t="s">
        <v>270</v>
      </c>
      <c r="CT44" t="s">
        <v>270</v>
      </c>
      <c r="CV44" t="s">
        <v>762</v>
      </c>
      <c r="CW44" t="s">
        <v>753</v>
      </c>
      <c r="CX44" t="s">
        <v>241</v>
      </c>
      <c r="CY44" t="s">
        <v>224</v>
      </c>
      <c r="CZ44" t="s">
        <v>731</v>
      </c>
      <c r="DA44" t="s">
        <v>730</v>
      </c>
      <c r="DB44" t="s">
        <v>241</v>
      </c>
      <c r="DC44" t="s">
        <v>647</v>
      </c>
    </row>
    <row r="45" spans="1:109" x14ac:dyDescent="0.25">
      <c r="A45" t="s">
        <v>518</v>
      </c>
      <c r="B45" t="s">
        <v>479</v>
      </c>
      <c r="C45">
        <v>7</v>
      </c>
      <c r="D45" s="33">
        <v>44433</v>
      </c>
      <c r="E45" t="s">
        <v>504</v>
      </c>
      <c r="F45" t="s">
        <v>340</v>
      </c>
      <c r="G45" t="s">
        <v>505</v>
      </c>
      <c r="H45" t="s">
        <v>506</v>
      </c>
      <c r="I45" t="s">
        <v>344</v>
      </c>
      <c r="J45" t="s">
        <v>291</v>
      </c>
      <c r="L45" t="s">
        <v>228</v>
      </c>
      <c r="N45">
        <v>32</v>
      </c>
      <c r="O45" t="s">
        <v>507</v>
      </c>
      <c r="R45" t="s">
        <v>232</v>
      </c>
      <c r="S45">
        <v>70</v>
      </c>
      <c r="T45" t="s">
        <v>508</v>
      </c>
      <c r="U45">
        <v>45</v>
      </c>
      <c r="V45" t="s">
        <v>299</v>
      </c>
      <c r="W45">
        <v>60</v>
      </c>
      <c r="Z45" t="s">
        <v>274</v>
      </c>
      <c r="AE45" t="s">
        <v>293</v>
      </c>
      <c r="AH45" t="s">
        <v>718</v>
      </c>
      <c r="AI45" t="s">
        <v>518</v>
      </c>
      <c r="AJ45" t="s">
        <v>534</v>
      </c>
      <c r="AM45" t="s">
        <v>475</v>
      </c>
      <c r="AN45">
        <v>1</v>
      </c>
      <c r="AO45" t="s">
        <v>289</v>
      </c>
      <c r="AP45" t="s">
        <v>547</v>
      </c>
      <c r="AS45">
        <v>13</v>
      </c>
      <c r="AT45">
        <v>0</v>
      </c>
      <c r="AU45">
        <v>13</v>
      </c>
      <c r="BF45" t="s">
        <v>547</v>
      </c>
      <c r="BG45" t="s">
        <v>308</v>
      </c>
      <c r="BR45"/>
      <c r="BS45"/>
      <c r="BT45" s="5"/>
      <c r="BU45" s="5"/>
      <c r="BX45"/>
      <c r="BZ45" s="3"/>
      <c r="CA45" t="s">
        <v>534</v>
      </c>
      <c r="CB45" t="s">
        <v>412</v>
      </c>
      <c r="CD45" t="s">
        <v>6</v>
      </c>
      <c r="CH45" t="s">
        <v>661</v>
      </c>
      <c r="CI45" t="s">
        <v>661</v>
      </c>
      <c r="CJ45" t="s">
        <v>661</v>
      </c>
      <c r="CK45" t="s">
        <v>661</v>
      </c>
      <c r="CL45" t="s">
        <v>661</v>
      </c>
      <c r="CM45" t="s">
        <v>661</v>
      </c>
      <c r="CN45" t="s">
        <v>661</v>
      </c>
      <c r="CO45" t="s">
        <v>661</v>
      </c>
      <c r="CQ45" t="s">
        <v>661</v>
      </c>
      <c r="CR45" t="s">
        <v>661</v>
      </c>
      <c r="CS45" t="s">
        <v>279</v>
      </c>
      <c r="CT45" t="s">
        <v>279</v>
      </c>
      <c r="CU45" t="s">
        <v>7</v>
      </c>
      <c r="CV45" t="s">
        <v>765</v>
      </c>
      <c r="CW45" t="s">
        <v>756</v>
      </c>
      <c r="CX45" t="s">
        <v>7</v>
      </c>
      <c r="CY45" t="s">
        <v>271</v>
      </c>
      <c r="CZ45" t="s">
        <v>730</v>
      </c>
      <c r="DA45" t="s">
        <v>730</v>
      </c>
      <c r="DC45" t="s">
        <v>661</v>
      </c>
    </row>
    <row r="46" spans="1:109" x14ac:dyDescent="0.25">
      <c r="A46" t="s">
        <v>518</v>
      </c>
      <c r="B46" t="s">
        <v>479</v>
      </c>
      <c r="C46">
        <v>7</v>
      </c>
      <c r="D46" s="33">
        <v>44433</v>
      </c>
      <c r="E46" t="s">
        <v>504</v>
      </c>
      <c r="F46" t="s">
        <v>340</v>
      </c>
      <c r="G46" t="s">
        <v>505</v>
      </c>
      <c r="H46" t="s">
        <v>506</v>
      </c>
      <c r="I46" t="s">
        <v>344</v>
      </c>
      <c r="J46" t="s">
        <v>291</v>
      </c>
      <c r="L46" t="s">
        <v>228</v>
      </c>
      <c r="N46">
        <v>32</v>
      </c>
      <c r="O46" t="s">
        <v>507</v>
      </c>
      <c r="R46" t="s">
        <v>232</v>
      </c>
      <c r="S46">
        <v>70</v>
      </c>
      <c r="T46" t="s">
        <v>508</v>
      </c>
      <c r="U46">
        <v>45</v>
      </c>
      <c r="V46" t="s">
        <v>299</v>
      </c>
      <c r="W46">
        <v>60</v>
      </c>
      <c r="Z46" t="s">
        <v>274</v>
      </c>
      <c r="AE46" t="s">
        <v>293</v>
      </c>
      <c r="AH46" t="s">
        <v>719</v>
      </c>
      <c r="AI46" t="s">
        <v>518</v>
      </c>
      <c r="AJ46" t="s">
        <v>347</v>
      </c>
      <c r="AL46" t="s">
        <v>548</v>
      </c>
      <c r="AM46" t="s">
        <v>475</v>
      </c>
      <c r="AN46">
        <v>2</v>
      </c>
      <c r="AO46" t="s">
        <v>233</v>
      </c>
      <c r="AP46" t="s">
        <v>525</v>
      </c>
      <c r="AS46">
        <v>5</v>
      </c>
      <c r="AT46">
        <v>13</v>
      </c>
      <c r="AU46">
        <v>18</v>
      </c>
      <c r="AW46" t="s">
        <v>235</v>
      </c>
      <c r="AX46" t="s">
        <v>463</v>
      </c>
      <c r="AY46" t="s">
        <v>219</v>
      </c>
      <c r="AZ46" t="s">
        <v>277</v>
      </c>
      <c r="BA46" t="s">
        <v>256</v>
      </c>
      <c r="BB46" t="s">
        <v>553</v>
      </c>
      <c r="BC46" t="s">
        <v>553</v>
      </c>
      <c r="BF46" t="s">
        <v>525</v>
      </c>
      <c r="BG46" t="s">
        <v>308</v>
      </c>
      <c r="BH46">
        <v>19</v>
      </c>
      <c r="BI46" t="s">
        <v>464</v>
      </c>
      <c r="BJ46" t="s">
        <v>464</v>
      </c>
      <c r="BK46" t="s">
        <v>222</v>
      </c>
      <c r="BL46" t="s">
        <v>464</v>
      </c>
      <c r="BM46" t="s">
        <v>548</v>
      </c>
      <c r="BN46">
        <v>5</v>
      </c>
      <c r="BO46">
        <v>1</v>
      </c>
      <c r="BP46">
        <v>1</v>
      </c>
      <c r="BQ46">
        <v>0.5</v>
      </c>
      <c r="BR46">
        <v>0.83</v>
      </c>
      <c r="BS46">
        <v>27</v>
      </c>
      <c r="BT46" s="5">
        <v>23</v>
      </c>
      <c r="BU46" s="5" t="s">
        <v>691</v>
      </c>
      <c r="BV46">
        <v>120</v>
      </c>
      <c r="BX46"/>
      <c r="BZ46" s="3"/>
      <c r="CA46" t="s">
        <v>347</v>
      </c>
      <c r="CB46" t="s">
        <v>6</v>
      </c>
    </row>
    <row r="47" spans="1:109" x14ac:dyDescent="0.25">
      <c r="A47" t="s">
        <v>518</v>
      </c>
      <c r="B47" t="s">
        <v>479</v>
      </c>
      <c r="C47">
        <v>7</v>
      </c>
      <c r="D47" s="33">
        <v>44433</v>
      </c>
      <c r="E47" t="s">
        <v>504</v>
      </c>
      <c r="F47" t="s">
        <v>340</v>
      </c>
      <c r="G47" t="s">
        <v>505</v>
      </c>
      <c r="H47" t="s">
        <v>506</v>
      </c>
      <c r="I47" t="s">
        <v>344</v>
      </c>
      <c r="J47" t="s">
        <v>291</v>
      </c>
      <c r="L47" t="s">
        <v>228</v>
      </c>
      <c r="N47">
        <v>32</v>
      </c>
      <c r="O47" t="s">
        <v>507</v>
      </c>
      <c r="R47" t="s">
        <v>232</v>
      </c>
      <c r="S47">
        <v>70</v>
      </c>
      <c r="T47" t="s">
        <v>508</v>
      </c>
      <c r="U47">
        <v>45</v>
      </c>
      <c r="V47" t="s">
        <v>299</v>
      </c>
      <c r="W47">
        <v>60</v>
      </c>
      <c r="Z47" t="s">
        <v>274</v>
      </c>
      <c r="AE47" t="s">
        <v>293</v>
      </c>
      <c r="AH47" t="s">
        <v>720</v>
      </c>
      <c r="AI47" t="s">
        <v>518</v>
      </c>
      <c r="AJ47" t="s">
        <v>3</v>
      </c>
      <c r="AM47" t="s">
        <v>475</v>
      </c>
      <c r="AN47">
        <v>3</v>
      </c>
      <c r="AO47" t="s">
        <v>233</v>
      </c>
      <c r="AP47" t="s">
        <v>525</v>
      </c>
      <c r="AS47">
        <v>6</v>
      </c>
      <c r="AT47">
        <v>18</v>
      </c>
      <c r="AU47">
        <v>24</v>
      </c>
      <c r="AW47" t="s">
        <v>235</v>
      </c>
      <c r="AX47" t="s">
        <v>448</v>
      </c>
      <c r="AY47" t="s">
        <v>236</v>
      </c>
      <c r="AZ47" t="s">
        <v>284</v>
      </c>
      <c r="BA47" t="s">
        <v>269</v>
      </c>
      <c r="BB47" t="s">
        <v>554</v>
      </c>
      <c r="BC47" t="s">
        <v>554</v>
      </c>
      <c r="BE47" t="s">
        <v>265</v>
      </c>
      <c r="BF47" t="s">
        <v>525</v>
      </c>
      <c r="BG47" t="s">
        <v>308</v>
      </c>
      <c r="BH47">
        <v>20</v>
      </c>
      <c r="BI47" t="s">
        <v>465</v>
      </c>
      <c r="BJ47" t="s">
        <v>465</v>
      </c>
      <c r="BK47" t="s">
        <v>193</v>
      </c>
      <c r="BL47" t="s">
        <v>465</v>
      </c>
      <c r="BR47"/>
      <c r="BS47"/>
      <c r="BT47" s="5"/>
      <c r="BU47" s="5"/>
      <c r="BX47"/>
      <c r="BZ47" s="3"/>
      <c r="CA47" t="s">
        <v>3</v>
      </c>
      <c r="CB47" t="s">
        <v>239</v>
      </c>
      <c r="CD47" t="s">
        <v>239</v>
      </c>
      <c r="CE47" t="s">
        <v>244</v>
      </c>
      <c r="CH47" t="s">
        <v>467</v>
      </c>
      <c r="CI47" t="s">
        <v>467</v>
      </c>
      <c r="CJ47" t="s">
        <v>467</v>
      </c>
      <c r="CK47" t="s">
        <v>467</v>
      </c>
      <c r="CL47" t="s">
        <v>467</v>
      </c>
      <c r="CM47" t="s">
        <v>467</v>
      </c>
      <c r="CN47" t="s">
        <v>467</v>
      </c>
      <c r="CO47" t="s">
        <v>467</v>
      </c>
      <c r="CP47" t="s">
        <v>408</v>
      </c>
      <c r="CQ47" t="s">
        <v>467</v>
      </c>
      <c r="CR47" t="s">
        <v>467</v>
      </c>
      <c r="CS47" t="s">
        <v>223</v>
      </c>
      <c r="CT47" t="s">
        <v>223</v>
      </c>
      <c r="CU47" t="s">
        <v>241</v>
      </c>
      <c r="CV47" t="s">
        <v>774</v>
      </c>
      <c r="CW47" t="s">
        <v>745</v>
      </c>
      <c r="CX47" t="s">
        <v>7</v>
      </c>
      <c r="CY47" t="s">
        <v>271</v>
      </c>
      <c r="CZ47" t="s">
        <v>773</v>
      </c>
      <c r="DA47" t="s">
        <v>729</v>
      </c>
      <c r="DB47" t="s">
        <v>7</v>
      </c>
      <c r="DC47" t="s">
        <v>467</v>
      </c>
      <c r="DE47" t="s">
        <v>241</v>
      </c>
    </row>
    <row r="48" spans="1:109" x14ac:dyDescent="0.25">
      <c r="A48" t="s">
        <v>519</v>
      </c>
      <c r="B48" t="s">
        <v>479</v>
      </c>
      <c r="C48">
        <v>8</v>
      </c>
      <c r="D48" s="33">
        <v>44434</v>
      </c>
      <c r="E48" t="s">
        <v>509</v>
      </c>
      <c r="F48" t="s">
        <v>340</v>
      </c>
      <c r="G48" t="s">
        <v>510</v>
      </c>
      <c r="H48" t="s">
        <v>511</v>
      </c>
      <c r="I48" t="s">
        <v>344</v>
      </c>
      <c r="N48">
        <v>100</v>
      </c>
      <c r="O48" t="s">
        <v>512</v>
      </c>
      <c r="P48" t="s">
        <v>232</v>
      </c>
      <c r="R48" t="s">
        <v>232</v>
      </c>
      <c r="S48">
        <v>80</v>
      </c>
      <c r="T48" t="s">
        <v>513</v>
      </c>
      <c r="U48">
        <v>45</v>
      </c>
      <c r="V48" t="s">
        <v>255</v>
      </c>
      <c r="W48">
        <v>15</v>
      </c>
      <c r="X48" t="s">
        <v>462</v>
      </c>
      <c r="Z48" t="s">
        <v>462</v>
      </c>
      <c r="AG48" t="s">
        <v>462</v>
      </c>
      <c r="AH48" t="s">
        <v>733</v>
      </c>
      <c r="AI48" t="s">
        <v>519</v>
      </c>
      <c r="AJ48" t="s">
        <v>524</v>
      </c>
      <c r="AM48" t="s">
        <v>475</v>
      </c>
      <c r="AN48">
        <v>4</v>
      </c>
      <c r="AO48" t="s">
        <v>264</v>
      </c>
      <c r="AP48" t="s">
        <v>264</v>
      </c>
      <c r="AS48">
        <v>3</v>
      </c>
      <c r="AT48">
        <v>6</v>
      </c>
      <c r="AU48">
        <v>9</v>
      </c>
      <c r="AW48" t="s">
        <v>218</v>
      </c>
      <c r="AX48" t="s">
        <v>463</v>
      </c>
      <c r="AY48" t="s">
        <v>219</v>
      </c>
      <c r="AZ48" t="s">
        <v>277</v>
      </c>
      <c r="BA48" t="s">
        <v>256</v>
      </c>
      <c r="BB48" t="s">
        <v>561</v>
      </c>
      <c r="BC48" t="s">
        <v>561</v>
      </c>
      <c r="BF48" t="s">
        <v>700</v>
      </c>
      <c r="BG48" t="s">
        <v>308</v>
      </c>
      <c r="BH48">
        <v>27</v>
      </c>
      <c r="BI48" t="s">
        <v>562</v>
      </c>
      <c r="BJ48" t="s">
        <v>562</v>
      </c>
      <c r="BK48" t="s">
        <v>222</v>
      </c>
      <c r="BL48" t="s">
        <v>562</v>
      </c>
      <c r="BR48"/>
      <c r="BS48"/>
      <c r="BT48" s="5"/>
      <c r="BU48" s="5"/>
      <c r="BX48"/>
      <c r="BZ48" s="3"/>
      <c r="CA48" t="s">
        <v>524</v>
      </c>
      <c r="CB48" t="s">
        <v>412</v>
      </c>
      <c r="CD48" t="s">
        <v>437</v>
      </c>
      <c r="CE48" t="s">
        <v>226</v>
      </c>
      <c r="CH48" t="s">
        <v>639</v>
      </c>
      <c r="CI48" t="s">
        <v>639</v>
      </c>
      <c r="CJ48" t="s">
        <v>639</v>
      </c>
      <c r="CK48" t="s">
        <v>639</v>
      </c>
      <c r="CL48" t="s">
        <v>639</v>
      </c>
      <c r="CM48" t="s">
        <v>639</v>
      </c>
      <c r="CN48" t="s">
        <v>639</v>
      </c>
      <c r="CO48" t="s">
        <v>639</v>
      </c>
      <c r="CP48" t="s">
        <v>409</v>
      </c>
      <c r="CQ48" t="s">
        <v>639</v>
      </c>
      <c r="CR48" t="s">
        <v>639</v>
      </c>
      <c r="CS48" t="s">
        <v>240</v>
      </c>
      <c r="CT48" t="s">
        <v>240</v>
      </c>
      <c r="CU48" t="s">
        <v>7</v>
      </c>
      <c r="CV48" t="s">
        <v>751</v>
      </c>
      <c r="CW48" t="s">
        <v>746</v>
      </c>
      <c r="CX48" t="s">
        <v>241</v>
      </c>
      <c r="CY48" t="s">
        <v>258</v>
      </c>
      <c r="CZ48" t="s">
        <v>729</v>
      </c>
      <c r="DA48" t="s">
        <v>225</v>
      </c>
      <c r="DB48" t="s">
        <v>241</v>
      </c>
      <c r="DC48" t="s">
        <v>639</v>
      </c>
    </row>
    <row r="49" spans="1:109" x14ac:dyDescent="0.25">
      <c r="A49" t="s">
        <v>519</v>
      </c>
      <c r="B49" t="s">
        <v>479</v>
      </c>
      <c r="C49">
        <v>8</v>
      </c>
      <c r="D49" s="33">
        <v>44434</v>
      </c>
      <c r="E49" t="s">
        <v>509</v>
      </c>
      <c r="F49" t="s">
        <v>340</v>
      </c>
      <c r="G49" t="s">
        <v>510</v>
      </c>
      <c r="H49" t="s">
        <v>511</v>
      </c>
      <c r="I49" t="s">
        <v>344</v>
      </c>
      <c r="N49">
        <v>100</v>
      </c>
      <c r="O49" t="s">
        <v>512</v>
      </c>
      <c r="P49" t="s">
        <v>232</v>
      </c>
      <c r="R49" t="s">
        <v>232</v>
      </c>
      <c r="S49">
        <v>80</v>
      </c>
      <c r="T49" t="s">
        <v>513</v>
      </c>
      <c r="U49">
        <v>45</v>
      </c>
      <c r="V49" t="s">
        <v>255</v>
      </c>
      <c r="W49">
        <v>15</v>
      </c>
      <c r="X49" t="s">
        <v>462</v>
      </c>
      <c r="Z49" t="s">
        <v>462</v>
      </c>
      <c r="AG49" t="s">
        <v>462</v>
      </c>
      <c r="AH49" t="s">
        <v>734</v>
      </c>
      <c r="AI49" t="s">
        <v>519</v>
      </c>
      <c r="AL49" t="s">
        <v>549</v>
      </c>
      <c r="AM49" t="s">
        <v>475</v>
      </c>
      <c r="AN49">
        <v>5</v>
      </c>
      <c r="AO49" t="s">
        <v>233</v>
      </c>
      <c r="AP49" t="s">
        <v>550</v>
      </c>
      <c r="AS49">
        <v>100</v>
      </c>
      <c r="AT49">
        <v>9</v>
      </c>
      <c r="AU49">
        <v>109</v>
      </c>
      <c r="BF49" t="s">
        <v>550</v>
      </c>
      <c r="BG49" t="s">
        <v>308</v>
      </c>
      <c r="BM49" t="s">
        <v>549</v>
      </c>
      <c r="BN49">
        <v>6</v>
      </c>
      <c r="BO49">
        <v>0</v>
      </c>
      <c r="BP49">
        <v>1</v>
      </c>
      <c r="BQ49">
        <v>0.5</v>
      </c>
      <c r="BR49">
        <v>0.5</v>
      </c>
      <c r="BS49">
        <v>45</v>
      </c>
      <c r="BT49" s="5">
        <v>38</v>
      </c>
      <c r="BU49" s="5" t="s">
        <v>691</v>
      </c>
      <c r="BV49">
        <v>120</v>
      </c>
      <c r="BX49"/>
      <c r="BZ49" s="3"/>
    </row>
    <row r="50" spans="1:109" x14ac:dyDescent="0.25">
      <c r="A50" t="s">
        <v>519</v>
      </c>
      <c r="B50" t="s">
        <v>479</v>
      </c>
      <c r="C50">
        <v>8</v>
      </c>
      <c r="D50" s="33">
        <v>44434</v>
      </c>
      <c r="E50" t="s">
        <v>509</v>
      </c>
      <c r="F50" t="s">
        <v>340</v>
      </c>
      <c r="G50" t="s">
        <v>510</v>
      </c>
      <c r="H50" t="s">
        <v>511</v>
      </c>
      <c r="I50" t="s">
        <v>344</v>
      </c>
      <c r="N50">
        <v>100</v>
      </c>
      <c r="O50" t="s">
        <v>512</v>
      </c>
      <c r="P50" t="s">
        <v>232</v>
      </c>
      <c r="R50" t="s">
        <v>232</v>
      </c>
      <c r="S50">
        <v>80</v>
      </c>
      <c r="T50" t="s">
        <v>513</v>
      </c>
      <c r="U50">
        <v>45</v>
      </c>
      <c r="V50" t="s">
        <v>255</v>
      </c>
      <c r="W50">
        <v>15</v>
      </c>
      <c r="X50" t="s">
        <v>462</v>
      </c>
      <c r="Z50" t="s">
        <v>462</v>
      </c>
      <c r="AG50" t="s">
        <v>462</v>
      </c>
      <c r="AH50" t="s">
        <v>735</v>
      </c>
      <c r="AI50" t="s">
        <v>519</v>
      </c>
      <c r="AJ50" t="s">
        <v>531</v>
      </c>
      <c r="AM50" t="s">
        <v>475</v>
      </c>
      <c r="AN50">
        <v>3</v>
      </c>
      <c r="AO50" t="s">
        <v>264</v>
      </c>
      <c r="AP50" t="s">
        <v>264</v>
      </c>
      <c r="AS50">
        <v>3</v>
      </c>
      <c r="AT50">
        <v>3</v>
      </c>
      <c r="AU50">
        <v>6</v>
      </c>
      <c r="AW50" t="s">
        <v>266</v>
      </c>
      <c r="AX50" t="s">
        <v>552</v>
      </c>
      <c r="AY50" t="s">
        <v>267</v>
      </c>
      <c r="AZ50" t="s">
        <v>268</v>
      </c>
      <c r="BA50" t="s">
        <v>256</v>
      </c>
      <c r="BB50" t="s">
        <v>560</v>
      </c>
      <c r="BC50" t="s">
        <v>560</v>
      </c>
      <c r="BF50" t="s">
        <v>700</v>
      </c>
      <c r="BG50" t="s">
        <v>308</v>
      </c>
      <c r="BH50">
        <v>26</v>
      </c>
      <c r="BI50" t="s">
        <v>465</v>
      </c>
      <c r="BJ50" t="s">
        <v>465</v>
      </c>
      <c r="BK50" t="s">
        <v>193</v>
      </c>
      <c r="BL50" t="s">
        <v>465</v>
      </c>
      <c r="BR50"/>
      <c r="BS50"/>
      <c r="BT50" s="5"/>
      <c r="BU50" s="5"/>
      <c r="BX50"/>
      <c r="BZ50" s="3"/>
      <c r="CA50" t="s">
        <v>531</v>
      </c>
      <c r="CB50" t="s">
        <v>6</v>
      </c>
      <c r="CC50" t="s">
        <v>116</v>
      </c>
      <c r="CD50" t="s">
        <v>6</v>
      </c>
      <c r="CE50" t="s">
        <v>244</v>
      </c>
      <c r="CF50" t="s">
        <v>226</v>
      </c>
      <c r="CG50" t="s">
        <v>483</v>
      </c>
      <c r="CH50" t="s">
        <v>651</v>
      </c>
      <c r="CI50" t="s">
        <v>651</v>
      </c>
      <c r="CJ50" t="s">
        <v>651</v>
      </c>
      <c r="CK50" t="s">
        <v>651</v>
      </c>
      <c r="CL50" t="s">
        <v>651</v>
      </c>
      <c r="CM50" t="s">
        <v>651</v>
      </c>
      <c r="CN50" t="s">
        <v>651</v>
      </c>
      <c r="CO50" t="s">
        <v>651</v>
      </c>
      <c r="CP50" t="s">
        <v>408</v>
      </c>
      <c r="CQ50" t="s">
        <v>651</v>
      </c>
      <c r="CR50" t="s">
        <v>651</v>
      </c>
      <c r="CS50" t="s">
        <v>279</v>
      </c>
      <c r="CT50" t="s">
        <v>279</v>
      </c>
      <c r="CU50" t="s">
        <v>241</v>
      </c>
      <c r="CV50" t="s">
        <v>763</v>
      </c>
      <c r="CW50" t="s">
        <v>754</v>
      </c>
      <c r="CX50" t="s">
        <v>7</v>
      </c>
      <c r="CY50" t="s">
        <v>242</v>
      </c>
      <c r="CZ50" t="s">
        <v>732</v>
      </c>
      <c r="DA50" t="s">
        <v>729</v>
      </c>
      <c r="DB50" t="s">
        <v>241</v>
      </c>
      <c r="DC50" t="s">
        <v>651</v>
      </c>
      <c r="DE50" t="s">
        <v>241</v>
      </c>
    </row>
    <row r="51" spans="1:109" x14ac:dyDescent="0.25">
      <c r="A51" t="s">
        <v>519</v>
      </c>
      <c r="B51" t="s">
        <v>479</v>
      </c>
      <c r="C51">
        <v>8</v>
      </c>
      <c r="D51" s="33">
        <v>44434</v>
      </c>
      <c r="E51" t="s">
        <v>509</v>
      </c>
      <c r="F51" t="s">
        <v>340</v>
      </c>
      <c r="G51" t="s">
        <v>510</v>
      </c>
      <c r="H51" t="s">
        <v>511</v>
      </c>
      <c r="I51" t="s">
        <v>344</v>
      </c>
      <c r="N51">
        <v>100</v>
      </c>
      <c r="O51" t="s">
        <v>512</v>
      </c>
      <c r="P51" t="s">
        <v>232</v>
      </c>
      <c r="R51" t="s">
        <v>232</v>
      </c>
      <c r="S51">
        <v>80</v>
      </c>
      <c r="T51" t="s">
        <v>513</v>
      </c>
      <c r="U51">
        <v>45</v>
      </c>
      <c r="V51" t="s">
        <v>255</v>
      </c>
      <c r="W51">
        <v>15</v>
      </c>
      <c r="X51" t="s">
        <v>462</v>
      </c>
      <c r="Z51" t="s">
        <v>462</v>
      </c>
      <c r="AG51" t="s">
        <v>462</v>
      </c>
      <c r="AH51" t="s">
        <v>724</v>
      </c>
      <c r="AI51" t="s">
        <v>519</v>
      </c>
      <c r="AJ51" t="s">
        <v>532</v>
      </c>
      <c r="AM51" t="s">
        <v>475</v>
      </c>
      <c r="AN51">
        <v>1</v>
      </c>
      <c r="AO51" t="s">
        <v>264</v>
      </c>
      <c r="AP51" t="s">
        <v>349</v>
      </c>
      <c r="AS51">
        <v>1</v>
      </c>
      <c r="AT51">
        <v>0</v>
      </c>
      <c r="AU51">
        <v>1</v>
      </c>
      <c r="AW51" t="s">
        <v>235</v>
      </c>
      <c r="AX51" t="s">
        <v>448</v>
      </c>
      <c r="AY51" t="s">
        <v>236</v>
      </c>
      <c r="AZ51" t="s">
        <v>237</v>
      </c>
      <c r="BA51" t="s">
        <v>256</v>
      </c>
      <c r="BB51" t="s">
        <v>558</v>
      </c>
      <c r="BC51" t="s">
        <v>558</v>
      </c>
      <c r="BE51" t="s">
        <v>234</v>
      </c>
      <c r="BF51" t="s">
        <v>349</v>
      </c>
      <c r="BG51" t="s">
        <v>308</v>
      </c>
      <c r="BH51">
        <v>24</v>
      </c>
      <c r="BI51" t="s">
        <v>562</v>
      </c>
      <c r="BJ51" t="s">
        <v>562</v>
      </c>
      <c r="BK51" t="s">
        <v>193</v>
      </c>
      <c r="BL51" t="s">
        <v>562</v>
      </c>
      <c r="BR51"/>
      <c r="BS51"/>
      <c r="BT51" s="5"/>
      <c r="BU51" s="5"/>
      <c r="BX51"/>
      <c r="BZ51" s="3"/>
      <c r="CA51" t="s">
        <v>532</v>
      </c>
      <c r="CB51" t="s">
        <v>6</v>
      </c>
      <c r="CD51" t="s">
        <v>6</v>
      </c>
      <c r="CF51" t="s">
        <v>226</v>
      </c>
      <c r="CH51" t="s">
        <v>659</v>
      </c>
      <c r="CI51" t="s">
        <v>659</v>
      </c>
      <c r="CJ51" t="s">
        <v>659</v>
      </c>
      <c r="CK51" t="s">
        <v>659</v>
      </c>
      <c r="CL51" t="s">
        <v>659</v>
      </c>
      <c r="CM51" t="s">
        <v>659</v>
      </c>
      <c r="CN51" t="s">
        <v>659</v>
      </c>
      <c r="CO51" t="s">
        <v>659</v>
      </c>
      <c r="CQ51" t="s">
        <v>659</v>
      </c>
      <c r="CR51" t="s">
        <v>659</v>
      </c>
      <c r="CS51" t="s">
        <v>285</v>
      </c>
      <c r="CT51" t="s">
        <v>285</v>
      </c>
      <c r="CV51" t="s">
        <v>764</v>
      </c>
      <c r="CW51" t="s">
        <v>755</v>
      </c>
      <c r="CX51" t="s">
        <v>241</v>
      </c>
      <c r="CY51" t="s">
        <v>258</v>
      </c>
      <c r="CZ51" t="s">
        <v>731</v>
      </c>
      <c r="DA51" t="s">
        <v>729</v>
      </c>
      <c r="DB51" t="s">
        <v>7</v>
      </c>
      <c r="DC51" t="s">
        <v>659</v>
      </c>
      <c r="DE51" t="s">
        <v>7</v>
      </c>
    </row>
    <row r="52" spans="1:109" x14ac:dyDescent="0.25">
      <c r="A52" t="s">
        <v>519</v>
      </c>
      <c r="B52" t="s">
        <v>479</v>
      </c>
      <c r="C52">
        <v>8</v>
      </c>
      <c r="D52" s="33">
        <v>44434</v>
      </c>
      <c r="E52" t="s">
        <v>509</v>
      </c>
      <c r="F52" t="s">
        <v>340</v>
      </c>
      <c r="G52" t="s">
        <v>510</v>
      </c>
      <c r="H52" t="s">
        <v>511</v>
      </c>
      <c r="I52" t="s">
        <v>344</v>
      </c>
      <c r="N52">
        <v>100</v>
      </c>
      <c r="O52" t="s">
        <v>512</v>
      </c>
      <c r="P52" t="s">
        <v>232</v>
      </c>
      <c r="R52" t="s">
        <v>232</v>
      </c>
      <c r="S52">
        <v>80</v>
      </c>
      <c r="T52" t="s">
        <v>513</v>
      </c>
      <c r="U52">
        <v>45</v>
      </c>
      <c r="V52" t="s">
        <v>255</v>
      </c>
      <c r="W52">
        <v>15</v>
      </c>
      <c r="X52" t="s">
        <v>462</v>
      </c>
      <c r="Z52" t="s">
        <v>462</v>
      </c>
      <c r="AG52" t="s">
        <v>462</v>
      </c>
      <c r="AH52" t="s">
        <v>725</v>
      </c>
      <c r="AI52" t="s">
        <v>519</v>
      </c>
      <c r="AJ52" t="s">
        <v>531</v>
      </c>
      <c r="AK52" t="s">
        <v>770</v>
      </c>
      <c r="AM52" t="s">
        <v>475</v>
      </c>
      <c r="AN52">
        <v>2</v>
      </c>
      <c r="AO52" t="s">
        <v>264</v>
      </c>
      <c r="AP52" t="s">
        <v>533</v>
      </c>
      <c r="AS52">
        <v>2</v>
      </c>
      <c r="AT52">
        <v>1</v>
      </c>
      <c r="AU52">
        <v>3</v>
      </c>
      <c r="AW52" t="s">
        <v>253</v>
      </c>
      <c r="AX52" t="s">
        <v>551</v>
      </c>
      <c r="AY52" t="s">
        <v>254</v>
      </c>
      <c r="AZ52" t="s">
        <v>255</v>
      </c>
      <c r="BA52" t="s">
        <v>256</v>
      </c>
      <c r="BB52" t="s">
        <v>559</v>
      </c>
      <c r="BC52" t="s">
        <v>559</v>
      </c>
      <c r="BE52" t="s">
        <v>234</v>
      </c>
      <c r="BF52" t="s">
        <v>533</v>
      </c>
      <c r="BG52" t="s">
        <v>308</v>
      </c>
      <c r="BH52">
        <v>25</v>
      </c>
      <c r="BI52" t="s">
        <v>464</v>
      </c>
      <c r="BJ52" t="s">
        <v>464</v>
      </c>
      <c r="BK52" t="s">
        <v>222</v>
      </c>
      <c r="BL52" t="s">
        <v>464</v>
      </c>
      <c r="BR52"/>
      <c r="BS52"/>
      <c r="BT52" s="5"/>
      <c r="BU52" s="5"/>
      <c r="BW52" t="s">
        <v>770</v>
      </c>
      <c r="BX52">
        <v>7</v>
      </c>
      <c r="BY52" t="s">
        <v>8</v>
      </c>
      <c r="BZ52" s="3">
        <v>12</v>
      </c>
      <c r="CA52" t="s">
        <v>531</v>
      </c>
      <c r="CB52" t="s">
        <v>6</v>
      </c>
      <c r="CC52" t="s">
        <v>116</v>
      </c>
      <c r="CD52" t="s">
        <v>6</v>
      </c>
      <c r="CE52" t="s">
        <v>244</v>
      </c>
      <c r="CF52" t="s">
        <v>226</v>
      </c>
      <c r="CG52" t="s">
        <v>483</v>
      </c>
      <c r="CH52" t="s">
        <v>651</v>
      </c>
      <c r="CI52" t="s">
        <v>651</v>
      </c>
      <c r="CJ52" t="s">
        <v>651</v>
      </c>
      <c r="CK52" t="s">
        <v>651</v>
      </c>
      <c r="CL52" t="s">
        <v>651</v>
      </c>
      <c r="CM52" t="s">
        <v>651</v>
      </c>
      <c r="CN52" t="s">
        <v>651</v>
      </c>
      <c r="CO52" t="s">
        <v>651</v>
      </c>
      <c r="CP52" t="s">
        <v>408</v>
      </c>
      <c r="CQ52" t="s">
        <v>651</v>
      </c>
      <c r="CR52" t="s">
        <v>651</v>
      </c>
      <c r="CS52" t="s">
        <v>279</v>
      </c>
      <c r="CT52" t="s">
        <v>279</v>
      </c>
      <c r="CU52" t="s">
        <v>241</v>
      </c>
      <c r="CV52" t="s">
        <v>763</v>
      </c>
      <c r="CW52" t="s">
        <v>754</v>
      </c>
      <c r="CX52" t="s">
        <v>7</v>
      </c>
      <c r="CY52" t="s">
        <v>242</v>
      </c>
      <c r="CZ52" t="s">
        <v>732</v>
      </c>
      <c r="DA52" t="s">
        <v>729</v>
      </c>
      <c r="DB52" t="s">
        <v>241</v>
      </c>
      <c r="DC52" t="s">
        <v>651</v>
      </c>
      <c r="DE52" t="s">
        <v>241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D2E7-F19D-47C4-8F65-D4767CCE6A46}">
  <sheetPr>
    <tabColor theme="0"/>
  </sheetPr>
  <dimension ref="A1:AE13"/>
  <sheetViews>
    <sheetView workbookViewId="0">
      <pane xSplit="1" topLeftCell="B1" activePane="topRight" state="frozen"/>
      <selection activeCell="M31" sqref="M31"/>
      <selection pane="topRight" activeCell="C22" sqref="C22"/>
    </sheetView>
  </sheetViews>
  <sheetFormatPr baseColWidth="10" defaultColWidth="11.42578125" defaultRowHeight="15" x14ac:dyDescent="0.25"/>
  <cols>
    <col min="1" max="1" width="16.85546875" customWidth="1"/>
    <col min="2" max="2" width="17.5703125" bestFit="1" customWidth="1"/>
    <col min="3" max="4" width="20.85546875" customWidth="1"/>
    <col min="5" max="5" width="17.140625" customWidth="1"/>
    <col min="6" max="6" width="17.28515625" customWidth="1"/>
    <col min="7" max="7" width="11.42578125" customWidth="1"/>
    <col min="8" max="8" width="6.7109375" customWidth="1"/>
    <col min="9" max="9" width="10.42578125" customWidth="1"/>
    <col min="10" max="10" width="6.85546875" customWidth="1"/>
    <col min="11" max="11" width="11.42578125" customWidth="1"/>
    <col min="12" max="12" width="18.28515625" customWidth="1"/>
    <col min="13" max="14" width="16.7109375" customWidth="1"/>
    <col min="15" max="15" width="9.85546875" customWidth="1"/>
    <col min="16" max="16" width="25.42578125" customWidth="1"/>
    <col min="17" max="18" width="11.42578125" customWidth="1"/>
    <col min="20" max="20" width="11.7109375" bestFit="1" customWidth="1"/>
    <col min="21" max="21" width="32.85546875" bestFit="1" customWidth="1"/>
    <col min="22" max="24" width="32.85546875" customWidth="1"/>
    <col min="25" max="25" width="32.85546875" bestFit="1" customWidth="1"/>
    <col min="26" max="26" width="13.5703125" bestFit="1" customWidth="1"/>
    <col min="27" max="28" width="23.28515625" bestFit="1" customWidth="1"/>
    <col min="29" max="29" width="11.7109375" bestFit="1" customWidth="1"/>
    <col min="30" max="30" width="20.5703125" bestFit="1" customWidth="1"/>
    <col min="31" max="31" width="16.7109375" bestFit="1" customWidth="1"/>
    <col min="32" max="32" width="16.7109375" customWidth="1"/>
    <col min="33" max="33" width="16.7109375" bestFit="1" customWidth="1"/>
    <col min="34" max="34" width="23.140625" bestFit="1" customWidth="1"/>
    <col min="35" max="35" width="16.7109375" bestFit="1" customWidth="1"/>
    <col min="36" max="36" width="20.42578125" bestFit="1" customWidth="1"/>
    <col min="37" max="37" width="18.42578125" customWidth="1"/>
    <col min="51" max="51" width="26.85546875" customWidth="1"/>
  </cols>
  <sheetData>
    <row r="1" spans="1:31" x14ac:dyDescent="0.25">
      <c r="A1" t="s">
        <v>9</v>
      </c>
      <c r="B1" t="s">
        <v>106</v>
      </c>
      <c r="C1" t="s">
        <v>107</v>
      </c>
      <c r="D1" t="s">
        <v>771</v>
      </c>
      <c r="E1" t="s">
        <v>115</v>
      </c>
      <c r="F1" t="s">
        <v>178</v>
      </c>
      <c r="G1" t="s">
        <v>85</v>
      </c>
      <c r="H1" t="s">
        <v>116</v>
      </c>
      <c r="I1" t="s">
        <v>117</v>
      </c>
      <c r="J1" t="s">
        <v>175</v>
      </c>
      <c r="K1" t="s">
        <v>304</v>
      </c>
      <c r="L1" t="s">
        <v>176</v>
      </c>
      <c r="M1" t="s">
        <v>442</v>
      </c>
      <c r="N1" t="s">
        <v>443</v>
      </c>
      <c r="O1" t="s">
        <v>177</v>
      </c>
      <c r="P1" t="s">
        <v>179</v>
      </c>
      <c r="Q1" t="s">
        <v>410</v>
      </c>
      <c r="R1" t="s">
        <v>411</v>
      </c>
      <c r="S1" t="s">
        <v>109</v>
      </c>
      <c r="T1" t="s">
        <v>110</v>
      </c>
      <c r="U1" t="s">
        <v>186</v>
      </c>
      <c r="V1" t="s">
        <v>742</v>
      </c>
      <c r="W1" t="s">
        <v>743</v>
      </c>
      <c r="X1" t="s">
        <v>744</v>
      </c>
      <c r="Y1" t="s">
        <v>111</v>
      </c>
      <c r="Z1" t="s">
        <v>112</v>
      </c>
      <c r="AA1" t="s">
        <v>113</v>
      </c>
      <c r="AB1" t="s">
        <v>114</v>
      </c>
      <c r="AC1" t="s">
        <v>355</v>
      </c>
      <c r="AD1" t="s">
        <v>469</v>
      </c>
      <c r="AE1" t="s">
        <v>108</v>
      </c>
    </row>
    <row r="2" spans="1:31" x14ac:dyDescent="0.25">
      <c r="A2" t="str">
        <f>"C"&amp;ROW()-2</f>
        <v>C0</v>
      </c>
      <c r="B2" s="34" t="s">
        <v>6</v>
      </c>
    </row>
    <row r="3" spans="1:31" x14ac:dyDescent="0.25">
      <c r="A3" t="str">
        <f t="shared" ref="A3:A13" si="0">"C"&amp;ROW()-2</f>
        <v>C1</v>
      </c>
      <c r="B3" s="35" t="s">
        <v>239</v>
      </c>
      <c r="D3" t="s">
        <v>239</v>
      </c>
      <c r="E3" t="s">
        <v>244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 t="s">
        <v>408</v>
      </c>
      <c r="Q3">
        <v>1</v>
      </c>
      <c r="R3">
        <v>1</v>
      </c>
      <c r="S3" t="s">
        <v>223</v>
      </c>
      <c r="T3" t="s">
        <v>223</v>
      </c>
      <c r="U3" t="s">
        <v>241</v>
      </c>
      <c r="V3" t="s">
        <v>774</v>
      </c>
      <c r="W3" t="s">
        <v>745</v>
      </c>
      <c r="X3" t="s">
        <v>7</v>
      </c>
      <c r="Y3" t="s">
        <v>271</v>
      </c>
      <c r="Z3" t="s">
        <v>773</v>
      </c>
      <c r="AA3" t="s">
        <v>729</v>
      </c>
      <c r="AB3" t="s">
        <v>7</v>
      </c>
      <c r="AC3">
        <v>1</v>
      </c>
      <c r="AE3" t="s">
        <v>241</v>
      </c>
    </row>
    <row r="4" spans="1:31" x14ac:dyDescent="0.25">
      <c r="A4" t="str">
        <f t="shared" si="0"/>
        <v>C2</v>
      </c>
      <c r="B4" s="34" t="s">
        <v>412</v>
      </c>
      <c r="D4" t="s">
        <v>437</v>
      </c>
      <c r="E4" t="s">
        <v>226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 t="s">
        <v>409</v>
      </c>
      <c r="Q4">
        <v>2</v>
      </c>
      <c r="R4">
        <v>2</v>
      </c>
      <c r="S4" t="s">
        <v>240</v>
      </c>
      <c r="T4" t="s">
        <v>240</v>
      </c>
      <c r="U4" t="s">
        <v>7</v>
      </c>
      <c r="V4" t="s">
        <v>751</v>
      </c>
      <c r="W4" t="s">
        <v>746</v>
      </c>
      <c r="X4" t="s">
        <v>241</v>
      </c>
      <c r="Y4" t="s">
        <v>258</v>
      </c>
      <c r="Z4" t="s">
        <v>729</v>
      </c>
      <c r="AA4" t="s">
        <v>225</v>
      </c>
      <c r="AB4" t="s">
        <v>241</v>
      </c>
      <c r="AC4">
        <v>2</v>
      </c>
    </row>
    <row r="5" spans="1:31" x14ac:dyDescent="0.25">
      <c r="A5" t="str">
        <f t="shared" si="0"/>
        <v>C3</v>
      </c>
      <c r="B5" s="35" t="s">
        <v>437</v>
      </c>
      <c r="D5" t="s">
        <v>239</v>
      </c>
      <c r="E5" t="s">
        <v>226</v>
      </c>
      <c r="F5" t="s">
        <v>226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 t="s">
        <v>408</v>
      </c>
      <c r="Q5">
        <v>3</v>
      </c>
      <c r="R5">
        <v>3</v>
      </c>
      <c r="S5" t="s">
        <v>257</v>
      </c>
      <c r="T5" t="s">
        <v>257</v>
      </c>
      <c r="U5" t="s">
        <v>241</v>
      </c>
      <c r="V5" t="s">
        <v>761</v>
      </c>
      <c r="W5" t="s">
        <v>752</v>
      </c>
      <c r="X5" t="s">
        <v>7</v>
      </c>
      <c r="Y5" t="s">
        <v>242</v>
      </c>
      <c r="Z5" t="s">
        <v>730</v>
      </c>
      <c r="AB5" t="s">
        <v>7</v>
      </c>
      <c r="AC5">
        <v>3</v>
      </c>
    </row>
    <row r="6" spans="1:31" x14ac:dyDescent="0.25">
      <c r="A6" t="str">
        <f t="shared" si="0"/>
        <v>C4</v>
      </c>
      <c r="B6" s="34" t="s">
        <v>6</v>
      </c>
      <c r="C6" t="s">
        <v>178</v>
      </c>
      <c r="D6" t="s">
        <v>6</v>
      </c>
      <c r="E6" t="s">
        <v>244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 t="s">
        <v>409</v>
      </c>
      <c r="Q6">
        <v>4</v>
      </c>
      <c r="R6">
        <v>4</v>
      </c>
      <c r="S6" t="s">
        <v>270</v>
      </c>
      <c r="T6" t="s">
        <v>270</v>
      </c>
      <c r="V6" t="s">
        <v>762</v>
      </c>
      <c r="W6" t="s">
        <v>753</v>
      </c>
      <c r="X6" t="s">
        <v>241</v>
      </c>
      <c r="Y6" t="s">
        <v>224</v>
      </c>
      <c r="Z6" t="s">
        <v>731</v>
      </c>
      <c r="AA6" t="s">
        <v>730</v>
      </c>
      <c r="AB6" t="s">
        <v>241</v>
      </c>
      <c r="AC6">
        <v>4</v>
      </c>
    </row>
    <row r="7" spans="1:31" x14ac:dyDescent="0.25">
      <c r="A7" t="str">
        <f t="shared" si="0"/>
        <v>C5</v>
      </c>
      <c r="B7" s="35" t="s">
        <v>6</v>
      </c>
      <c r="C7" t="s">
        <v>116</v>
      </c>
      <c r="D7" t="s">
        <v>6</v>
      </c>
      <c r="E7" t="s">
        <v>244</v>
      </c>
      <c r="F7" t="s">
        <v>226</v>
      </c>
      <c r="G7" t="s">
        <v>483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 t="s">
        <v>408</v>
      </c>
      <c r="Q7">
        <v>5</v>
      </c>
      <c r="R7">
        <v>5</v>
      </c>
      <c r="S7" t="s">
        <v>279</v>
      </c>
      <c r="T7" t="s">
        <v>279</v>
      </c>
      <c r="U7" t="s">
        <v>241</v>
      </c>
      <c r="V7" t="s">
        <v>763</v>
      </c>
      <c r="W7" t="s">
        <v>754</v>
      </c>
      <c r="X7" t="s">
        <v>7</v>
      </c>
      <c r="Y7" t="s">
        <v>242</v>
      </c>
      <c r="Z7" t="s">
        <v>732</v>
      </c>
      <c r="AA7" t="s">
        <v>729</v>
      </c>
      <c r="AB7" t="s">
        <v>241</v>
      </c>
      <c r="AC7">
        <v>5</v>
      </c>
      <c r="AE7" t="s">
        <v>241</v>
      </c>
    </row>
    <row r="8" spans="1:31" x14ac:dyDescent="0.25">
      <c r="A8" t="str">
        <f t="shared" si="0"/>
        <v>C6</v>
      </c>
      <c r="B8" s="34" t="s">
        <v>6</v>
      </c>
      <c r="D8" t="s">
        <v>6</v>
      </c>
      <c r="F8" t="s">
        <v>226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Q8">
        <v>6</v>
      </c>
      <c r="R8">
        <v>6</v>
      </c>
      <c r="S8" t="s">
        <v>285</v>
      </c>
      <c r="T8" t="s">
        <v>285</v>
      </c>
      <c r="V8" t="s">
        <v>764</v>
      </c>
      <c r="W8" t="s">
        <v>755</v>
      </c>
      <c r="X8" t="s">
        <v>241</v>
      </c>
      <c r="Y8" t="s">
        <v>258</v>
      </c>
      <c r="Z8" t="s">
        <v>731</v>
      </c>
      <c r="AA8" t="s">
        <v>729</v>
      </c>
      <c r="AB8" t="s">
        <v>7</v>
      </c>
      <c r="AC8">
        <v>6</v>
      </c>
      <c r="AE8" t="s">
        <v>7</v>
      </c>
    </row>
    <row r="9" spans="1:31" x14ac:dyDescent="0.25">
      <c r="A9" t="str">
        <f t="shared" si="0"/>
        <v>C7</v>
      </c>
      <c r="B9" s="35" t="s">
        <v>412</v>
      </c>
      <c r="D9" t="s">
        <v>6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Q9">
        <v>7</v>
      </c>
      <c r="R9">
        <v>7</v>
      </c>
      <c r="S9" t="s">
        <v>279</v>
      </c>
      <c r="T9" t="s">
        <v>279</v>
      </c>
      <c r="U9" t="s">
        <v>7</v>
      </c>
      <c r="V9" t="s">
        <v>765</v>
      </c>
      <c r="W9" t="s">
        <v>756</v>
      </c>
      <c r="X9" t="s">
        <v>7</v>
      </c>
      <c r="Y9" t="s">
        <v>271</v>
      </c>
      <c r="Z9" t="s">
        <v>730</v>
      </c>
      <c r="AA9" t="s">
        <v>730</v>
      </c>
      <c r="AC9">
        <v>7</v>
      </c>
    </row>
    <row r="10" spans="1:31" x14ac:dyDescent="0.25">
      <c r="A10" t="str">
        <f t="shared" si="0"/>
        <v>C8</v>
      </c>
      <c r="B10" s="34" t="s">
        <v>239</v>
      </c>
      <c r="D10" t="s">
        <v>6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  <c r="O10">
        <v>8</v>
      </c>
      <c r="P10" t="s">
        <v>409</v>
      </c>
      <c r="Q10">
        <v>8</v>
      </c>
      <c r="R10">
        <v>8</v>
      </c>
      <c r="S10" t="s">
        <v>270</v>
      </c>
      <c r="T10" t="s">
        <v>270</v>
      </c>
      <c r="V10" t="s">
        <v>766</v>
      </c>
      <c r="W10" t="s">
        <v>757</v>
      </c>
      <c r="X10" t="s">
        <v>241</v>
      </c>
      <c r="Z10" t="s">
        <v>729</v>
      </c>
      <c r="AA10" t="s">
        <v>225</v>
      </c>
      <c r="AC10">
        <v>8</v>
      </c>
    </row>
    <row r="11" spans="1:31" x14ac:dyDescent="0.25">
      <c r="A11" t="str">
        <f t="shared" si="0"/>
        <v>C9</v>
      </c>
      <c r="B11" s="35" t="s">
        <v>6</v>
      </c>
      <c r="C11" t="s">
        <v>178</v>
      </c>
      <c r="D11" t="s">
        <v>6</v>
      </c>
      <c r="F11" t="s">
        <v>226</v>
      </c>
      <c r="H11">
        <v>9</v>
      </c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 t="s">
        <v>408</v>
      </c>
      <c r="Q11">
        <v>9</v>
      </c>
      <c r="R11">
        <v>9</v>
      </c>
      <c r="S11" t="s">
        <v>257</v>
      </c>
      <c r="T11" t="s">
        <v>257</v>
      </c>
      <c r="U11" t="s">
        <v>241</v>
      </c>
      <c r="V11" t="s">
        <v>767</v>
      </c>
      <c r="W11" t="s">
        <v>758</v>
      </c>
      <c r="X11" t="s">
        <v>7</v>
      </c>
      <c r="Y11" t="s">
        <v>224</v>
      </c>
      <c r="Z11" t="s">
        <v>773</v>
      </c>
      <c r="AA11" t="s">
        <v>729</v>
      </c>
      <c r="AB11" t="s">
        <v>241</v>
      </c>
      <c r="AC11">
        <v>9</v>
      </c>
      <c r="AE11" t="s">
        <v>241</v>
      </c>
    </row>
    <row r="12" spans="1:31" x14ac:dyDescent="0.25">
      <c r="A12" t="str">
        <f t="shared" si="0"/>
        <v>C10</v>
      </c>
      <c r="B12" s="34" t="s">
        <v>239</v>
      </c>
      <c r="D12" t="s">
        <v>6</v>
      </c>
      <c r="E12" t="s">
        <v>226</v>
      </c>
      <c r="F12" t="s">
        <v>244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 t="s">
        <v>409</v>
      </c>
      <c r="Q12">
        <v>10</v>
      </c>
      <c r="R12">
        <v>10</v>
      </c>
      <c r="S12" t="s">
        <v>240</v>
      </c>
      <c r="T12" t="s">
        <v>240</v>
      </c>
      <c r="V12" t="s">
        <v>768</v>
      </c>
      <c r="W12" t="s">
        <v>759</v>
      </c>
      <c r="X12" t="s">
        <v>241</v>
      </c>
      <c r="Y12" t="s">
        <v>242</v>
      </c>
      <c r="AA12" t="s">
        <v>730</v>
      </c>
      <c r="AB12" t="s">
        <v>7</v>
      </c>
      <c r="AC12">
        <v>10</v>
      </c>
    </row>
    <row r="13" spans="1:31" ht="15.75" thickBot="1" x14ac:dyDescent="0.3">
      <c r="A13" t="str">
        <f t="shared" si="0"/>
        <v>C11</v>
      </c>
      <c r="B13" s="36" t="s">
        <v>6</v>
      </c>
      <c r="D13" t="s">
        <v>6</v>
      </c>
      <c r="H13">
        <v>11</v>
      </c>
      <c r="I13">
        <v>11</v>
      </c>
      <c r="J13">
        <v>11</v>
      </c>
      <c r="K13">
        <v>11</v>
      </c>
      <c r="L13">
        <v>11</v>
      </c>
      <c r="M13">
        <v>11</v>
      </c>
      <c r="N13">
        <v>11</v>
      </c>
      <c r="O13">
        <v>11</v>
      </c>
      <c r="P13" t="s">
        <v>408</v>
      </c>
      <c r="Q13">
        <v>11</v>
      </c>
      <c r="R13">
        <v>11</v>
      </c>
      <c r="S13" t="s">
        <v>223</v>
      </c>
      <c r="T13" t="s">
        <v>223</v>
      </c>
      <c r="V13" t="s">
        <v>769</v>
      </c>
      <c r="W13" t="s">
        <v>760</v>
      </c>
      <c r="X13" t="s">
        <v>7</v>
      </c>
      <c r="AA13" t="s">
        <v>225</v>
      </c>
      <c r="AC13">
        <v>11</v>
      </c>
    </row>
  </sheetData>
  <phoneticPr fontId="1" type="noConversion"/>
  <dataValidations count="12">
    <dataValidation type="list" allowBlank="1" showInputMessage="1" showErrorMessage="1" sqref="AY4:AY1048576" xr:uid="{D7A58537-B20F-4FF1-B522-BAF45D890180}">
      <formula1>CHEMIE_ALTHOLZ_AUSWAHL</formula1>
    </dataValidation>
    <dataValidation type="list" allowBlank="1" showInputMessage="1" showErrorMessage="1" errorTitle="Fehler!" error="Eingabe ungültig." promptTitle="REKU" prompt="Bitte wählen Sie aus der Liste." sqref="AI4:AI1048576" xr:uid="{365D7463-72D7-455A-81BF-FB1BA47E47CC}">
      <formula1>REKU_AUSWAHL</formula1>
    </dataValidation>
    <dataValidation type="list" allowBlank="1" showInputMessage="1" showErrorMessage="1" errorTitle="Fehler!" error="Ungültige Eingabe." promptTitle="Entscheidungshilfe" prompt="Bitte wählen Sie eine Einstufung aus der Liste." sqref="AH4:AH1048576" xr:uid="{E327E40A-1E42-4F06-8DB2-B94C4D7A24A3}">
      <formula1>ENTSCHEIDUNGSHILFE_AUSWAHL</formula1>
    </dataValidation>
    <dataValidation type="list" allowBlank="1" showInputMessage="1" showErrorMessage="1" errorTitle="Fehler!" error="Eingabe ungültig." promptTitle="DepV" prompt="Bitte wählen Sie eine Einstufung aus der Liste." sqref="AG4:AG1048576" xr:uid="{2A8510B3-2121-45A3-ADEB-4616CFB015E8}">
      <formula1>DEPV_AUSWAHL</formula1>
    </dataValidation>
    <dataValidation type="list" allowBlank="1" showErrorMessage="1" sqref="E2:E13" xr:uid="{310B5C64-E75B-48B0-A433-987ACC6A4389}">
      <formula1>"nachweisbar, nicht nachweisbar"</formula1>
    </dataValidation>
    <dataValidation type="list" allowBlank="1" showInputMessage="1" showErrorMessage="1" sqref="P2:P13" xr:uid="{BE8A61CA-55EE-44EB-B6CC-F3311FC218FB}">
      <formula1>"auffällig, nicht auffällig"</formula1>
    </dataValidation>
    <dataValidation type="list" allowBlank="1" showInputMessage="1" showErrorMessage="1" sqref="AE2:AE23 AF2:AF13 AB2:AB13 U2:U13 X2:X13" xr:uid="{0C1B8A6C-111C-4A71-B7CB-19BBB7CA01B8}">
      <formula1>"eingehalten, nicht eingehalten"</formula1>
    </dataValidation>
    <dataValidation type="list" allowBlank="1" showInputMessage="1" showErrorMessage="1" sqref="Y2:Y13" xr:uid="{1E602BBC-AD99-4DA7-85B3-EFB0009D9C54}">
      <formula1>"RC1, RC2, RC3, &gt;RC3"</formula1>
    </dataValidation>
    <dataValidation type="list" allowBlank="1" showInputMessage="1" showErrorMessage="1" sqref="S2:T13" xr:uid="{FA06BEE0-3E9C-4195-BDEB-FDE18FB3A0C9}">
      <formula1>"Z0, Z0*, Z1.1, Z1.2, Z2, &gt;Z2"</formula1>
    </dataValidation>
    <dataValidation type="list" allowBlank="1" showInputMessage="1" showErrorMessage="1" sqref="D2:D13 B2:B13" xr:uid="{806BF5FA-2DF4-40CC-B5FC-B827A2275773}">
      <formula1>"gefährlich, nicht gefährlich, Auffälligkeit, keine Auffälligkeit"</formula1>
    </dataValidation>
    <dataValidation type="list" allowBlank="1" showInputMessage="1" showErrorMessage="1" sqref="F2:F1048576" xr:uid="{946A3534-50E0-4E7C-9906-3B76AA2D2C90}">
      <formula1>"nachweisbar, nicht nachweisbar"</formula1>
    </dataValidation>
    <dataValidation type="list" allowBlank="1" showInputMessage="1" showErrorMessage="1" sqref="W2:W13" xr:uid="{8E9512C7-90D4-4E0A-BB24-BB3D18278215}">
      <formula1>"RC-1, RC-2, RC-3,  HOS-1, HOS-2,  GS-0, GS-1, GS-2, GS-3,  HS,  SWS-1, SWS-2,  GKOS,  CUM-1, CUM-2,  GRS,  SKG,  SKA,  SFA,  BFA,  HMVA-1, HMVA-2"</formula1>
    </dataValidation>
  </dataValidations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452180B-D5D4-4F67-8EEE-715CAB7009C9}">
          <x14:formula1>
            <xm:f>'Auswahl Listen'!$AH$2:$AH$15</xm:f>
          </x14:formula1>
          <xm:sqref>V2:V13</xm:sqref>
        </x14:dataValidation>
        <x14:dataValidation type="list" allowBlank="1" showInputMessage="1" showErrorMessage="1" xr:uid="{BBFD99F8-4F98-4551-92EF-03D41A8C6CE6}">
          <x14:formula1>
            <xm:f>'Auswahl Listen'!$N$2:$N$4</xm:f>
          </x14:formula1>
          <xm:sqref>AA2:AA13</xm:sqref>
        </x14:dataValidation>
        <x14:dataValidation type="list" allowBlank="1" showInputMessage="1" showErrorMessage="1" xr:uid="{2794A249-3D56-44F3-BA92-18A27C5E4D87}">
          <x14:formula1>
            <xm:f>'Auswahl Listen'!$M$2:$M$6</xm:f>
          </x14:formula1>
          <xm:sqref>Z2:Z13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B976-51B2-4C99-9DF1-AC5266596B47}">
  <sheetPr>
    <tabColor theme="0"/>
  </sheetPr>
  <dimension ref="A1:D8"/>
  <sheetViews>
    <sheetView workbookViewId="0">
      <selection activeCell="P16" sqref="P16"/>
    </sheetView>
  </sheetViews>
  <sheetFormatPr baseColWidth="10" defaultColWidth="11.42578125" defaultRowHeight="15" x14ac:dyDescent="0.25"/>
  <cols>
    <col min="1" max="1" width="5.140625" bestFit="1" customWidth="1"/>
    <col min="2" max="2" width="12" bestFit="1" customWidth="1"/>
    <col min="3" max="3" width="14" bestFit="1" customWidth="1"/>
    <col min="4" max="4" width="8.42578125" style="3" bestFit="1" customWidth="1"/>
  </cols>
  <sheetData>
    <row r="1" spans="1:4" x14ac:dyDescent="0.25">
      <c r="A1" t="s">
        <v>9</v>
      </c>
      <c r="B1" t="s">
        <v>10</v>
      </c>
      <c r="C1" t="s">
        <v>118</v>
      </c>
      <c r="D1" s="3" t="s">
        <v>119</v>
      </c>
    </row>
    <row r="2" spans="1:4" x14ac:dyDescent="0.25">
      <c r="A2" t="str">
        <f t="shared" ref="A2" si="0">"A"&amp;ROW()-1</f>
        <v>A1</v>
      </c>
      <c r="B2">
        <f t="shared" ref="B2:B7" si="1">ROW()-1</f>
        <v>1</v>
      </c>
      <c r="C2" t="s">
        <v>8</v>
      </c>
      <c r="D2" s="3">
        <v>77</v>
      </c>
    </row>
    <row r="3" spans="1:4" x14ac:dyDescent="0.25">
      <c r="A3" t="str">
        <f>"A"&amp;ROW()-1</f>
        <v>A2</v>
      </c>
      <c r="B3">
        <f t="shared" si="1"/>
        <v>2</v>
      </c>
      <c r="C3" t="s">
        <v>314</v>
      </c>
      <c r="D3" s="3">
        <v>3</v>
      </c>
    </row>
    <row r="4" spans="1:4" x14ac:dyDescent="0.25">
      <c r="A4" t="str">
        <f>"A"&amp;ROW()-1</f>
        <v>A3</v>
      </c>
      <c r="B4">
        <f t="shared" si="1"/>
        <v>3</v>
      </c>
      <c r="C4" t="s">
        <v>8</v>
      </c>
      <c r="D4" s="3">
        <v>5</v>
      </c>
    </row>
    <row r="5" spans="1:4" x14ac:dyDescent="0.25">
      <c r="A5" t="str">
        <f>"A"&amp;ROW()-1</f>
        <v>A4</v>
      </c>
      <c r="B5">
        <f t="shared" si="1"/>
        <v>4</v>
      </c>
      <c r="C5" t="s">
        <v>8</v>
      </c>
      <c r="D5" s="3">
        <v>66</v>
      </c>
    </row>
    <row r="6" spans="1:4" x14ac:dyDescent="0.25">
      <c r="A6" t="str">
        <f>"A"&amp;ROW()-1</f>
        <v>A5</v>
      </c>
      <c r="B6">
        <f t="shared" si="1"/>
        <v>5</v>
      </c>
      <c r="C6" t="s">
        <v>314</v>
      </c>
      <c r="D6" s="3">
        <v>21</v>
      </c>
    </row>
    <row r="7" spans="1:4" x14ac:dyDescent="0.25">
      <c r="A7" t="str">
        <f>"A"&amp;ROW()-1</f>
        <v>A6</v>
      </c>
      <c r="B7">
        <f t="shared" si="1"/>
        <v>6</v>
      </c>
    </row>
    <row r="8" spans="1:4" x14ac:dyDescent="0.25">
      <c r="A8" t="s">
        <v>770</v>
      </c>
      <c r="B8">
        <f>ROW()-1</f>
        <v>7</v>
      </c>
      <c r="C8" t="s">
        <v>8</v>
      </c>
      <c r="D8" s="3">
        <v>12</v>
      </c>
    </row>
  </sheetData>
  <dataValidations count="1">
    <dataValidation type="list" allowBlank="1" showInputMessage="1" showErrorMessage="1" sqref="C2:C1048576" xr:uid="{10AF85FA-68C0-4EE8-B7C7-9E52FC476860}">
      <formula1>RUK_PROBENART_AUSWAHL</formula1>
    </dataValidation>
  </dataValidations>
  <pageMargins left="0.7" right="0.7" top="0.78740157499999996" bottom="0.78740157499999996" header="0.3" footer="0.3"/>
  <pageSetup paperSize="9" orientation="portrait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7359-ABC0-4F35-80F7-1AB5587A2ADE}">
  <sheetPr>
    <tabColor theme="0"/>
  </sheetPr>
  <dimension ref="A1:J23"/>
  <sheetViews>
    <sheetView zoomScaleNormal="100" workbookViewId="0">
      <selection activeCell="J6" sqref="J6"/>
    </sheetView>
  </sheetViews>
  <sheetFormatPr baseColWidth="10" defaultColWidth="11.42578125" defaultRowHeight="15" x14ac:dyDescent="0.25"/>
  <cols>
    <col min="1" max="1" width="5.140625" bestFit="1" customWidth="1"/>
    <col min="2" max="2" width="12" bestFit="1" customWidth="1"/>
    <col min="3" max="5" width="10.42578125" bestFit="1" customWidth="1"/>
    <col min="6" max="6" width="15.28515625" style="4" customWidth="1"/>
    <col min="8" max="8" width="11.42578125" style="5"/>
    <col min="9" max="9" width="6.5703125" style="5" bestFit="1" customWidth="1"/>
    <col min="10" max="10" width="12.85546875" customWidth="1"/>
  </cols>
  <sheetData>
    <row r="1" spans="1:10" x14ac:dyDescent="0.25">
      <c r="A1" t="s">
        <v>9</v>
      </c>
      <c r="B1" t="s">
        <v>10</v>
      </c>
      <c r="C1" t="s">
        <v>120</v>
      </c>
      <c r="D1" t="s">
        <v>121</v>
      </c>
      <c r="E1" t="s">
        <v>122</v>
      </c>
      <c r="F1" s="4" t="s">
        <v>123</v>
      </c>
      <c r="G1" s="8" t="s">
        <v>187</v>
      </c>
      <c r="H1" s="1" t="s">
        <v>188</v>
      </c>
      <c r="I1" s="1" t="s">
        <v>189</v>
      </c>
      <c r="J1" t="s">
        <v>190</v>
      </c>
    </row>
    <row r="2" spans="1:10" x14ac:dyDescent="0.25">
      <c r="A2" t="str">
        <f t="shared" ref="A2" si="0">"LP"&amp;ROW()-1</f>
        <v>LP1</v>
      </c>
      <c r="B2">
        <f t="shared" ref="B2" si="1">ROW()-1</f>
        <v>1</v>
      </c>
      <c r="C2" s="2">
        <v>0.42</v>
      </c>
      <c r="D2" s="2">
        <v>0.39</v>
      </c>
      <c r="E2" s="2">
        <v>0.39</v>
      </c>
      <c r="F2" s="4">
        <f>IFERROR(AVERAGE(Lp.Table[[#This Row],[WERT_1]:[WERT_3]]),"")</f>
        <v>0.40000000000000008</v>
      </c>
      <c r="G2">
        <f>IFERROR(ROUND(22.5/Lp.Table[[#This Row],[MITTELWERT]],1),"")</f>
        <v>56.3</v>
      </c>
      <c r="H2" s="5">
        <f>IFERROR(ROUND(Lp.Table[[#This Row],[EV]]*0.85,0),"")</f>
        <v>48</v>
      </c>
      <c r="I2" s="5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>87</v>
      </c>
      <c r="J2">
        <f>IF(Lp.Table[[#This Row],[EV2]] &lt;&gt; "",120,"")</f>
        <v>120</v>
      </c>
    </row>
    <row r="3" spans="1:10" x14ac:dyDescent="0.25">
      <c r="A3" t="str">
        <f>"LP"&amp;ROW()-1</f>
        <v>LP2</v>
      </c>
      <c r="B3">
        <f>ROW()-1</f>
        <v>2</v>
      </c>
      <c r="C3" s="2">
        <v>1E-3</v>
      </c>
      <c r="D3" s="2">
        <v>1E-3</v>
      </c>
      <c r="E3" s="2">
        <v>1E-3</v>
      </c>
      <c r="F3" s="4">
        <f>IFERROR(AVERAGE(Lp.Table[[#This Row],[WERT_1]:[WERT_3]]),"")</f>
        <v>1E-3</v>
      </c>
      <c r="G3">
        <f>IFERROR(ROUND(22.5/Lp.Table[[#This Row],[MITTELWERT]],1),"")</f>
        <v>22500</v>
      </c>
      <c r="H3" s="5">
        <f>IFERROR(ROUND(Lp.Table[[#This Row],[EV]]*0.85,0),"")</f>
        <v>19125</v>
      </c>
      <c r="I3" s="5" t="str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>&gt; 120</v>
      </c>
      <c r="J3">
        <f>IF(Lp.Table[[#This Row],[EV2]] &lt;&gt; "",120,"")</f>
        <v>120</v>
      </c>
    </row>
    <row r="4" spans="1:10" x14ac:dyDescent="0.25">
      <c r="A4" t="str">
        <f>"LP"&amp;ROW()-1</f>
        <v>LP3</v>
      </c>
      <c r="B4">
        <f>ROW()-1</f>
        <v>3</v>
      </c>
      <c r="C4" s="2">
        <v>3</v>
      </c>
      <c r="D4" s="2">
        <v>4</v>
      </c>
      <c r="E4" s="2">
        <v>5</v>
      </c>
      <c r="F4" s="4">
        <f>IFERROR(AVERAGE(Lp.Table[[#This Row],[WERT_1]:[WERT_3]]),"")</f>
        <v>4</v>
      </c>
      <c r="G4">
        <f>IFERROR(ROUND(22.5/Lp.Table[[#This Row],[MITTELWERT]],1),"")</f>
        <v>5.6</v>
      </c>
      <c r="H4" s="5">
        <f>IFERROR(ROUND(Lp.Table[[#This Row],[EV]]*0.85,0),"")</f>
        <v>5</v>
      </c>
      <c r="I4" s="5" t="str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>&lt; 80</v>
      </c>
      <c r="J4">
        <f>IF(Lp.Table[[#This Row],[EV2]] &lt;&gt; "",120,"")</f>
        <v>120</v>
      </c>
    </row>
    <row r="5" spans="1:10" x14ac:dyDescent="0.25">
      <c r="A5" t="str">
        <f t="shared" ref="A5:A8" si="2">"LP"&amp;ROW()-1</f>
        <v>LP4</v>
      </c>
      <c r="B5">
        <f t="shared" ref="B5:B8" si="3">ROW()-1</f>
        <v>4</v>
      </c>
      <c r="C5" s="2">
        <v>3</v>
      </c>
      <c r="D5" s="2">
        <v>2</v>
      </c>
      <c r="E5" s="2">
        <v>1</v>
      </c>
      <c r="F5" s="4">
        <f>IFERROR(AVERAGE(Lp.Table[[#This Row],[WERT_1]:[WERT_3]]),"")</f>
        <v>2</v>
      </c>
      <c r="G5">
        <f>IFERROR(ROUND(22.5/Lp.Table[[#This Row],[MITTELWERT]],1),"")</f>
        <v>11.3</v>
      </c>
      <c r="H5" s="5">
        <f>IFERROR(ROUND(Lp.Table[[#This Row],[EV]]*0.85,0),"")</f>
        <v>10</v>
      </c>
      <c r="I5" s="5" t="str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>&lt; 80</v>
      </c>
      <c r="J5">
        <f>IF(Lp.Table[[#This Row],[EV2]] &lt;&gt; "",120,"")</f>
        <v>120</v>
      </c>
    </row>
    <row r="6" spans="1:10" x14ac:dyDescent="0.25">
      <c r="A6" t="str">
        <f t="shared" si="2"/>
        <v>LP5</v>
      </c>
      <c r="B6">
        <f t="shared" si="3"/>
        <v>5</v>
      </c>
      <c r="C6" s="2">
        <v>1</v>
      </c>
      <c r="D6" s="2">
        <v>1</v>
      </c>
      <c r="E6" s="2">
        <v>0.5</v>
      </c>
      <c r="F6" s="4">
        <f>IFERROR(AVERAGE(Lp.Table[[#This Row],[WERT_1]:[WERT_3]]),"")</f>
        <v>0.83333333333333337</v>
      </c>
      <c r="G6">
        <f>IFERROR(ROUND(22.5/Lp.Table[[#This Row],[MITTELWERT]],1),"")</f>
        <v>27</v>
      </c>
      <c r="H6" s="5">
        <f>IFERROR(ROUND(Lp.Table[[#This Row],[EV]]*0.85,0),"")</f>
        <v>23</v>
      </c>
      <c r="I6" s="5" t="str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>&lt; 80</v>
      </c>
      <c r="J6">
        <f>IF(Lp.Table[[#This Row],[EV2]] &lt;&gt; "",120,"")</f>
        <v>120</v>
      </c>
    </row>
    <row r="7" spans="1:10" x14ac:dyDescent="0.25">
      <c r="A7" t="str">
        <f t="shared" si="2"/>
        <v>LP6</v>
      </c>
      <c r="B7">
        <f t="shared" si="3"/>
        <v>6</v>
      </c>
      <c r="C7" s="2">
        <v>0</v>
      </c>
      <c r="D7" s="2">
        <v>1</v>
      </c>
      <c r="E7" s="2">
        <v>0.5</v>
      </c>
      <c r="F7" s="4">
        <f>IFERROR(AVERAGE(Lp.Table[[#This Row],[WERT_1]:[WERT_3]]),"")</f>
        <v>0.5</v>
      </c>
      <c r="G7">
        <f>IFERROR(ROUND(22.5/Lp.Table[[#This Row],[MITTELWERT]],1),"")</f>
        <v>45</v>
      </c>
      <c r="H7" s="5">
        <f>IFERROR(ROUND(Lp.Table[[#This Row],[EV]]*0.85,0),"")</f>
        <v>38</v>
      </c>
      <c r="I7" s="5" t="str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>&lt; 80</v>
      </c>
      <c r="J7">
        <f>IF(Lp.Table[[#This Row],[EV2]] &lt;&gt; "",120,"")</f>
        <v>120</v>
      </c>
    </row>
    <row r="8" spans="1:10" x14ac:dyDescent="0.25">
      <c r="A8" t="str">
        <f t="shared" si="2"/>
        <v>LP7</v>
      </c>
      <c r="B8">
        <f t="shared" si="3"/>
        <v>7</v>
      </c>
      <c r="C8" s="2">
        <v>0.2</v>
      </c>
      <c r="D8" s="2">
        <v>0.2</v>
      </c>
      <c r="E8" s="2">
        <v>1</v>
      </c>
      <c r="F8" s="4">
        <f>IFERROR(AVERAGE(Lp.Table[[#This Row],[WERT_1]:[WERT_3]]),"")</f>
        <v>0.46666666666666662</v>
      </c>
      <c r="G8">
        <f>IFERROR(ROUND(22.5/Lp.Table[[#This Row],[MITTELWERT]],1),"")</f>
        <v>48.2</v>
      </c>
      <c r="H8" s="5">
        <f>IFERROR(ROUND(Lp.Table[[#This Row],[EV]]*0.85,0),"")</f>
        <v>41</v>
      </c>
      <c r="I8" s="5" t="str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>&lt; 80</v>
      </c>
      <c r="J8">
        <f>IF(Lp.Table[[#This Row],[EV2]] &lt;&gt; "",120,"")</f>
        <v>120</v>
      </c>
    </row>
    <row r="9" spans="1:10" x14ac:dyDescent="0.25">
      <c r="A9" t="str">
        <f>"LP"&amp;ROW()-1</f>
        <v>LP8</v>
      </c>
      <c r="B9">
        <f>ROW()-1</f>
        <v>8</v>
      </c>
      <c r="C9" s="2"/>
      <c r="D9" s="2"/>
      <c r="E9" s="2"/>
      <c r="F9" s="4" t="str">
        <f>IFERROR(AVERAGE(Lp.Table[[#This Row],[WERT_1]:[WERT_3]]),"")</f>
        <v/>
      </c>
      <c r="G9" t="str">
        <f>IFERROR(ROUND(22.5/Lp.Table[[#This Row],[MITTELWERT]],1),"")</f>
        <v/>
      </c>
      <c r="H9" s="5" t="str">
        <f>IFERROR(ROUND(Lp.Table[[#This Row],[EV]]*0.85,0),"")</f>
        <v/>
      </c>
      <c r="I9" s="5" t="str">
        <f>IFERROR(IF(Lp.Table[[#This Row],[EV85]]="","",IF(AND(Lp.Table[[#This Row],[EV85]]&gt;45,Lp.Table[[#This Row],[EV85]]&lt;75),ROUND(-0.0333*Lp.Table[[#This Row],[EV85]]^2+5.3333*Lp.Table[[#This Row],[EV85]]-92.5,0),IF(Lp.Table[[#This Row],[EV85]]&lt;45,"&lt; 80","&gt; 120"))),"")</f>
        <v/>
      </c>
      <c r="J9" t="str">
        <f>IF(Lp.Table[[#This Row],[EV2]] &lt;&gt; "",120,"")</f>
        <v/>
      </c>
    </row>
    <row r="10" spans="1:10" x14ac:dyDescent="0.25">
      <c r="C10" s="2"/>
      <c r="D10" s="2"/>
      <c r="E10" s="2"/>
    </row>
    <row r="11" spans="1:10" x14ac:dyDescent="0.25">
      <c r="C11" s="2"/>
      <c r="D11" s="2"/>
      <c r="E11" s="2"/>
    </row>
    <row r="12" spans="1:10" x14ac:dyDescent="0.25">
      <c r="C12" s="2"/>
      <c r="D12" s="2"/>
      <c r="E12" s="2"/>
    </row>
    <row r="13" spans="1:10" x14ac:dyDescent="0.25">
      <c r="C13" s="2"/>
      <c r="D13" s="2"/>
      <c r="E13" s="2"/>
    </row>
    <row r="14" spans="1:10" x14ac:dyDescent="0.25">
      <c r="C14" s="2"/>
      <c r="D14" s="2"/>
      <c r="E14" s="2"/>
    </row>
    <row r="15" spans="1:10" x14ac:dyDescent="0.25">
      <c r="C15" s="2"/>
      <c r="D15" s="2"/>
      <c r="E15" s="2"/>
    </row>
    <row r="16" spans="1:10" x14ac:dyDescent="0.25">
      <c r="C16" s="2"/>
      <c r="D16" s="2"/>
      <c r="E16" s="2"/>
    </row>
    <row r="17" spans="3:5" x14ac:dyDescent="0.25">
      <c r="C17" s="2"/>
      <c r="D17" s="2"/>
      <c r="E17" s="2"/>
    </row>
    <row r="18" spans="3:5" x14ac:dyDescent="0.25">
      <c r="C18" s="2"/>
      <c r="D18" s="2"/>
      <c r="E18" s="2"/>
    </row>
    <row r="19" spans="3:5" x14ac:dyDescent="0.25">
      <c r="C19" s="2"/>
      <c r="D19" s="2"/>
      <c r="E19" s="2"/>
    </row>
    <row r="20" spans="3:5" x14ac:dyDescent="0.25">
      <c r="C20" s="2"/>
      <c r="D20" s="2"/>
      <c r="E20" s="2"/>
    </row>
    <row r="21" spans="3:5" x14ac:dyDescent="0.25">
      <c r="C21" s="2"/>
      <c r="D21" s="2"/>
      <c r="E21" s="2"/>
    </row>
    <row r="22" spans="3:5" x14ac:dyDescent="0.25">
      <c r="C22" s="2"/>
      <c r="D22" s="2"/>
      <c r="E22" s="2"/>
    </row>
    <row r="23" spans="3:5" x14ac:dyDescent="0.25">
      <c r="C23" s="2"/>
      <c r="D23" s="2"/>
      <c r="E23" s="2"/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CF92-DC63-43B3-8BD1-A34739C47A9E}">
  <sheetPr>
    <tabColor theme="7" tint="0.39997558519241921"/>
  </sheetPr>
  <dimension ref="A1:AG24"/>
  <sheetViews>
    <sheetView workbookViewId="0">
      <pane xSplit="1" topLeftCell="B1" activePane="topRight" state="frozen"/>
      <selection activeCell="F37" sqref="F37"/>
      <selection pane="topRight" activeCell="D2" sqref="D2"/>
    </sheetView>
  </sheetViews>
  <sheetFormatPr baseColWidth="10" defaultColWidth="11.42578125" defaultRowHeight="15" x14ac:dyDescent="0.25"/>
  <cols>
    <col min="1" max="1" width="5.140625" bestFit="1" customWidth="1"/>
    <col min="2" max="2" width="15.42578125" customWidth="1"/>
    <col min="3" max="3" width="12" bestFit="1" customWidth="1"/>
    <col min="4" max="4" width="10.7109375" bestFit="1" customWidth="1"/>
    <col min="5" max="5" width="11.140625" bestFit="1" customWidth="1"/>
    <col min="6" max="6" width="10.5703125" bestFit="1" customWidth="1"/>
    <col min="7" max="7" width="21" bestFit="1" customWidth="1"/>
    <col min="8" max="8" width="17.5703125" customWidth="1"/>
    <col min="9" max="9" width="51.7109375" bestFit="1" customWidth="1"/>
    <col min="10" max="10" width="18.42578125" bestFit="1" customWidth="1"/>
    <col min="11" max="11" width="19.42578125" bestFit="1" customWidth="1"/>
    <col min="12" max="12" width="26" bestFit="1" customWidth="1"/>
    <col min="13" max="13" width="13.85546875" bestFit="1" customWidth="1"/>
    <col min="14" max="14" width="21.28515625" bestFit="1" customWidth="1"/>
    <col min="15" max="15" width="27.5703125" bestFit="1" customWidth="1"/>
    <col min="16" max="16" width="19.7109375" bestFit="1" customWidth="1"/>
    <col min="17" max="17" width="26" bestFit="1" customWidth="1"/>
    <col min="18" max="18" width="21.28515625" bestFit="1" customWidth="1"/>
    <col min="19" max="19" width="17.140625" bestFit="1" customWidth="1"/>
    <col min="20" max="20" width="22.28515625" bestFit="1" customWidth="1"/>
    <col min="21" max="21" width="14.42578125" bestFit="1" customWidth="1"/>
    <col min="22" max="22" width="23.85546875" bestFit="1" customWidth="1"/>
    <col min="23" max="23" width="11.28515625" bestFit="1" customWidth="1"/>
    <col min="24" max="24" width="115.42578125" bestFit="1" customWidth="1"/>
    <col min="25" max="25" width="15.140625" customWidth="1"/>
    <col min="26" max="32" width="15" bestFit="1" customWidth="1"/>
    <col min="33" max="33" width="16" bestFit="1" customWidth="1"/>
  </cols>
  <sheetData>
    <row r="1" spans="1:33" x14ac:dyDescent="0.25">
      <c r="A1" s="15" t="s">
        <v>9</v>
      </c>
      <c r="B1" s="15" t="s">
        <v>473</v>
      </c>
      <c r="C1" s="15" t="s">
        <v>10</v>
      </c>
      <c r="D1" s="16" t="s">
        <v>11</v>
      </c>
      <c r="E1" s="17" t="s">
        <v>12</v>
      </c>
      <c r="F1" s="17" t="s">
        <v>13</v>
      </c>
      <c r="G1" s="17" t="s">
        <v>31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  <c r="M1" s="17" t="s">
        <v>37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42</v>
      </c>
      <c r="S1" s="17" t="s">
        <v>43</v>
      </c>
      <c r="T1" s="17" t="s">
        <v>44</v>
      </c>
      <c r="U1" s="17" t="s">
        <v>45</v>
      </c>
      <c r="V1" s="17" t="s">
        <v>46</v>
      </c>
      <c r="W1" s="17" t="s">
        <v>47</v>
      </c>
      <c r="X1" s="9" t="s">
        <v>318</v>
      </c>
      <c r="Y1" s="9" t="s">
        <v>319</v>
      </c>
      <c r="Z1" s="9" t="s">
        <v>320</v>
      </c>
      <c r="AA1" s="9" t="s">
        <v>321</v>
      </c>
      <c r="AB1" s="9" t="s">
        <v>322</v>
      </c>
      <c r="AC1" s="9" t="s">
        <v>323</v>
      </c>
      <c r="AD1" s="9" t="s">
        <v>324</v>
      </c>
      <c r="AE1" s="9" t="s">
        <v>325</v>
      </c>
      <c r="AF1" s="9" t="s">
        <v>326</v>
      </c>
      <c r="AG1" s="9" t="s">
        <v>327</v>
      </c>
    </row>
    <row r="2" spans="1:33" x14ac:dyDescent="0.25">
      <c r="A2" t="s">
        <v>0</v>
      </c>
      <c r="B2" t="str">
        <f t="shared" ref="B2:B3" si="0">"EXPLORATION"</f>
        <v>EXPLORATION</v>
      </c>
      <c r="C2">
        <v>1</v>
      </c>
      <c r="D2" s="10">
        <v>43831</v>
      </c>
      <c r="E2" t="s">
        <v>342</v>
      </c>
      <c r="F2" t="s">
        <v>340</v>
      </c>
      <c r="G2" t="s">
        <v>341</v>
      </c>
      <c r="H2" t="s">
        <v>343</v>
      </c>
      <c r="I2" s="11" t="s">
        <v>344</v>
      </c>
      <c r="J2" t="s">
        <v>246</v>
      </c>
      <c r="K2" t="s">
        <v>228</v>
      </c>
      <c r="L2" t="s">
        <v>229</v>
      </c>
      <c r="M2" t="s">
        <v>230</v>
      </c>
      <c r="N2" s="12" t="s">
        <v>231</v>
      </c>
      <c r="O2" s="11" t="s">
        <v>345</v>
      </c>
      <c r="P2" t="s">
        <v>232</v>
      </c>
      <c r="Q2" t="s">
        <v>232</v>
      </c>
      <c r="R2" t="s">
        <v>232</v>
      </c>
      <c r="S2">
        <v>10</v>
      </c>
      <c r="T2" t="s">
        <v>346</v>
      </c>
      <c r="U2">
        <v>45</v>
      </c>
      <c r="V2" t="s">
        <v>299</v>
      </c>
      <c r="W2">
        <v>300</v>
      </c>
      <c r="X2" t="s">
        <v>302</v>
      </c>
      <c r="Y2" t="s">
        <v>250</v>
      </c>
      <c r="Z2" t="s">
        <v>263</v>
      </c>
      <c r="AA2" t="s">
        <v>274</v>
      </c>
      <c r="AB2" t="s">
        <v>282</v>
      </c>
      <c r="AC2" t="s">
        <v>288</v>
      </c>
      <c r="AD2" t="s">
        <v>293</v>
      </c>
      <c r="AE2" t="s">
        <v>297</v>
      </c>
      <c r="AF2" t="s">
        <v>300</v>
      </c>
      <c r="AG2" t="s">
        <v>472</v>
      </c>
    </row>
    <row r="3" spans="1:33" x14ac:dyDescent="0.25">
      <c r="A3" t="s">
        <v>457</v>
      </c>
      <c r="B3" t="str">
        <f t="shared" si="0"/>
        <v>EXPLORATION</v>
      </c>
      <c r="C3">
        <v>2</v>
      </c>
      <c r="D3" s="10">
        <v>44428</v>
      </c>
      <c r="E3" t="s">
        <v>458</v>
      </c>
      <c r="F3" t="s">
        <v>340</v>
      </c>
      <c r="G3" t="s">
        <v>459</v>
      </c>
      <c r="H3" t="s">
        <v>452</v>
      </c>
      <c r="I3" s="11" t="s">
        <v>344</v>
      </c>
      <c r="J3" t="s">
        <v>286</v>
      </c>
      <c r="K3" t="s">
        <v>246</v>
      </c>
      <c r="L3" t="s">
        <v>247</v>
      </c>
      <c r="M3" t="s">
        <v>248</v>
      </c>
      <c r="N3" s="12">
        <v>0.3</v>
      </c>
      <c r="O3" s="11" t="s">
        <v>460</v>
      </c>
      <c r="P3" t="s">
        <v>232</v>
      </c>
      <c r="Q3" t="s">
        <v>232</v>
      </c>
      <c r="S3">
        <v>20</v>
      </c>
      <c r="T3" t="s">
        <v>461</v>
      </c>
      <c r="U3">
        <v>45</v>
      </c>
      <c r="V3" t="s">
        <v>255</v>
      </c>
      <c r="W3">
        <v>250</v>
      </c>
      <c r="X3" t="s">
        <v>263</v>
      </c>
      <c r="Y3" t="s">
        <v>274</v>
      </c>
      <c r="Z3" t="s">
        <v>293</v>
      </c>
      <c r="AA3" t="s">
        <v>462</v>
      </c>
    </row>
    <row r="4" spans="1:33" x14ac:dyDescent="0.25">
      <c r="A4" t="s">
        <v>514</v>
      </c>
      <c r="B4" t="str">
        <f t="shared" ref="B4:B10" si="1">"EXPLORATION"</f>
        <v>EXPLORATION</v>
      </c>
      <c r="C4">
        <v>3</v>
      </c>
      <c r="D4" s="10">
        <v>44429</v>
      </c>
      <c r="E4" t="s">
        <v>484</v>
      </c>
      <c r="F4" t="s">
        <v>340</v>
      </c>
      <c r="G4" t="s">
        <v>485</v>
      </c>
      <c r="H4" t="s">
        <v>486</v>
      </c>
      <c r="I4" s="11" t="s">
        <v>344</v>
      </c>
      <c r="J4" t="s">
        <v>280</v>
      </c>
      <c r="K4" t="s">
        <v>229</v>
      </c>
      <c r="L4" t="s">
        <v>246</v>
      </c>
      <c r="M4" t="s">
        <v>261</v>
      </c>
      <c r="N4" s="12" t="s">
        <v>738</v>
      </c>
      <c r="O4" s="11" t="s">
        <v>487</v>
      </c>
      <c r="P4" t="s">
        <v>232</v>
      </c>
      <c r="R4" t="s">
        <v>232</v>
      </c>
      <c r="S4">
        <v>30</v>
      </c>
      <c r="T4" t="s">
        <v>488</v>
      </c>
      <c r="U4">
        <v>45</v>
      </c>
      <c r="V4" t="s">
        <v>299</v>
      </c>
      <c r="W4">
        <v>100</v>
      </c>
    </row>
    <row r="5" spans="1:33" x14ac:dyDescent="0.25">
      <c r="A5" t="s">
        <v>515</v>
      </c>
      <c r="B5" t="str">
        <f t="shared" si="1"/>
        <v>EXPLORATION</v>
      </c>
      <c r="C5">
        <v>4</v>
      </c>
      <c r="D5" s="10">
        <v>44430</v>
      </c>
      <c r="E5" t="s">
        <v>489</v>
      </c>
      <c r="F5" t="s">
        <v>340</v>
      </c>
      <c r="G5" t="s">
        <v>490</v>
      </c>
      <c r="H5" t="s">
        <v>491</v>
      </c>
      <c r="I5" s="11" t="s">
        <v>344</v>
      </c>
      <c r="J5" t="s">
        <v>272</v>
      </c>
      <c r="L5" t="s">
        <v>246</v>
      </c>
      <c r="M5" t="s">
        <v>230</v>
      </c>
      <c r="N5" s="12">
        <v>1.8</v>
      </c>
      <c r="O5" s="11" t="s">
        <v>492</v>
      </c>
      <c r="Q5" t="s">
        <v>232</v>
      </c>
      <c r="S5">
        <v>40</v>
      </c>
      <c r="T5" t="s">
        <v>493</v>
      </c>
      <c r="U5">
        <v>45</v>
      </c>
      <c r="V5" t="s">
        <v>255</v>
      </c>
      <c r="W5">
        <v>100</v>
      </c>
      <c r="X5" t="s">
        <v>462</v>
      </c>
    </row>
    <row r="6" spans="1:33" x14ac:dyDescent="0.25">
      <c r="A6" t="s">
        <v>516</v>
      </c>
      <c r="B6" t="str">
        <f t="shared" si="1"/>
        <v>EXPLORATION</v>
      </c>
      <c r="C6">
        <v>5</v>
      </c>
      <c r="D6" s="10">
        <v>44431</v>
      </c>
      <c r="E6" t="s">
        <v>494</v>
      </c>
      <c r="F6" t="s">
        <v>340</v>
      </c>
      <c r="G6" t="s">
        <v>495</v>
      </c>
      <c r="H6" t="s">
        <v>496</v>
      </c>
      <c r="I6" s="11" t="s">
        <v>344</v>
      </c>
      <c r="J6" t="s">
        <v>245</v>
      </c>
      <c r="K6" t="s">
        <v>229</v>
      </c>
      <c r="L6" t="s">
        <v>246</v>
      </c>
      <c r="M6" t="s">
        <v>248</v>
      </c>
      <c r="N6" s="12">
        <v>3.2</v>
      </c>
      <c r="O6" s="11" t="s">
        <v>497</v>
      </c>
      <c r="P6" t="s">
        <v>232</v>
      </c>
      <c r="Q6" t="s">
        <v>232</v>
      </c>
      <c r="R6" t="s">
        <v>232</v>
      </c>
      <c r="S6">
        <v>50</v>
      </c>
      <c r="T6" t="s">
        <v>498</v>
      </c>
      <c r="U6">
        <v>45</v>
      </c>
      <c r="V6" t="s">
        <v>299</v>
      </c>
      <c r="W6">
        <v>150</v>
      </c>
      <c r="X6" t="s">
        <v>462</v>
      </c>
    </row>
    <row r="7" spans="1:33" x14ac:dyDescent="0.25">
      <c r="A7" t="s">
        <v>517</v>
      </c>
      <c r="B7" t="str">
        <f t="shared" si="1"/>
        <v>EXPLORATION</v>
      </c>
      <c r="C7">
        <v>6</v>
      </c>
      <c r="D7" s="10">
        <v>44432</v>
      </c>
      <c r="E7" t="s">
        <v>499</v>
      </c>
      <c r="F7" t="s">
        <v>340</v>
      </c>
      <c r="G7" t="s">
        <v>500</v>
      </c>
      <c r="H7" t="s">
        <v>501</v>
      </c>
      <c r="I7" s="11" t="s">
        <v>344</v>
      </c>
      <c r="J7" t="s">
        <v>260</v>
      </c>
      <c r="K7" t="s">
        <v>229</v>
      </c>
      <c r="L7" t="s">
        <v>246</v>
      </c>
      <c r="M7" t="s">
        <v>261</v>
      </c>
      <c r="N7" s="12">
        <v>10</v>
      </c>
      <c r="O7" s="11" t="s">
        <v>502</v>
      </c>
      <c r="Q7" t="s">
        <v>232</v>
      </c>
      <c r="R7" t="s">
        <v>232</v>
      </c>
      <c r="S7">
        <v>60</v>
      </c>
      <c r="T7" t="s">
        <v>503</v>
      </c>
      <c r="U7">
        <v>45</v>
      </c>
      <c r="V7" t="s">
        <v>255</v>
      </c>
      <c r="W7">
        <v>105</v>
      </c>
      <c r="X7" t="s">
        <v>462</v>
      </c>
    </row>
    <row r="8" spans="1:33" x14ac:dyDescent="0.25">
      <c r="A8" t="s">
        <v>518</v>
      </c>
      <c r="B8" t="str">
        <f t="shared" si="1"/>
        <v>EXPLORATION</v>
      </c>
      <c r="C8">
        <v>7</v>
      </c>
      <c r="D8" s="10">
        <v>44433</v>
      </c>
      <c r="E8" t="s">
        <v>504</v>
      </c>
      <c r="F8" t="s">
        <v>340</v>
      </c>
      <c r="G8" t="s">
        <v>505</v>
      </c>
      <c r="H8" t="s">
        <v>506</v>
      </c>
      <c r="I8" s="11" t="s">
        <v>344</v>
      </c>
      <c r="J8" t="s">
        <v>291</v>
      </c>
      <c r="L8" t="s">
        <v>228</v>
      </c>
      <c r="N8" s="12">
        <v>32</v>
      </c>
      <c r="O8" s="11" t="s">
        <v>507</v>
      </c>
      <c r="R8" t="s">
        <v>232</v>
      </c>
      <c r="S8">
        <v>70</v>
      </c>
      <c r="T8" t="s">
        <v>508</v>
      </c>
      <c r="U8">
        <v>45</v>
      </c>
      <c r="V8" t="s">
        <v>299</v>
      </c>
      <c r="W8">
        <v>60</v>
      </c>
      <c r="Z8" t="s">
        <v>274</v>
      </c>
      <c r="AE8" t="s">
        <v>293</v>
      </c>
    </row>
    <row r="9" spans="1:33" x14ac:dyDescent="0.25">
      <c r="A9" t="s">
        <v>519</v>
      </c>
      <c r="B9" t="str">
        <f t="shared" si="1"/>
        <v>EXPLORATION</v>
      </c>
      <c r="C9">
        <v>8</v>
      </c>
      <c r="D9" s="10">
        <v>44434</v>
      </c>
      <c r="E9" t="s">
        <v>509</v>
      </c>
      <c r="F9" t="s">
        <v>340</v>
      </c>
      <c r="G9" t="s">
        <v>510</v>
      </c>
      <c r="H9" t="s">
        <v>511</v>
      </c>
      <c r="I9" s="11" t="s">
        <v>344</v>
      </c>
      <c r="N9" s="12">
        <v>100</v>
      </c>
      <c r="O9" s="11" t="s">
        <v>512</v>
      </c>
      <c r="P9" t="s">
        <v>232</v>
      </c>
      <c r="R9" t="s">
        <v>232</v>
      </c>
      <c r="S9">
        <v>80</v>
      </c>
      <c r="T9" t="s">
        <v>513</v>
      </c>
      <c r="U9">
        <v>45</v>
      </c>
      <c r="V9" t="s">
        <v>255</v>
      </c>
      <c r="W9">
        <v>15</v>
      </c>
      <c r="X9" t="s">
        <v>462</v>
      </c>
      <c r="Z9" t="s">
        <v>462</v>
      </c>
      <c r="AG9" t="s">
        <v>462</v>
      </c>
    </row>
    <row r="10" spans="1:33" x14ac:dyDescent="0.25">
      <c r="A10" t="s">
        <v>520</v>
      </c>
      <c r="B10" t="str">
        <f t="shared" si="1"/>
        <v>EXPLORATION</v>
      </c>
      <c r="C10">
        <v>0</v>
      </c>
      <c r="N10" s="12"/>
    </row>
    <row r="11" spans="1:33" x14ac:dyDescent="0.25">
      <c r="D11" s="10"/>
      <c r="I11" s="11"/>
      <c r="O11" s="11"/>
    </row>
    <row r="12" spans="1:33" x14ac:dyDescent="0.25">
      <c r="D12" s="10"/>
      <c r="I12" s="11"/>
      <c r="O12" s="11"/>
    </row>
    <row r="13" spans="1:33" x14ac:dyDescent="0.25">
      <c r="D13" s="10"/>
      <c r="I13" s="11"/>
      <c r="O13" s="11"/>
    </row>
    <row r="14" spans="1:33" x14ac:dyDescent="0.25">
      <c r="D14" s="10"/>
      <c r="I14" s="11"/>
      <c r="O14" s="11"/>
    </row>
    <row r="15" spans="1:33" x14ac:dyDescent="0.25">
      <c r="D15" s="10"/>
      <c r="I15" s="11"/>
      <c r="O15" s="11"/>
    </row>
    <row r="16" spans="1:33" x14ac:dyDescent="0.25">
      <c r="D16" s="10"/>
      <c r="I16" s="11"/>
      <c r="O16" s="11"/>
    </row>
    <row r="18" spans="4:15" x14ac:dyDescent="0.25">
      <c r="D18" s="10"/>
      <c r="I18" s="11"/>
      <c r="O18" s="11"/>
    </row>
    <row r="19" spans="4:15" x14ac:dyDescent="0.25">
      <c r="D19" s="10"/>
      <c r="I19" s="11"/>
      <c r="O19" s="11"/>
    </row>
    <row r="20" spans="4:15" x14ac:dyDescent="0.25">
      <c r="D20" s="10"/>
      <c r="I20" s="11"/>
      <c r="O20" s="11"/>
    </row>
    <row r="21" spans="4:15" x14ac:dyDescent="0.25">
      <c r="D21" s="10"/>
      <c r="I21" s="11"/>
      <c r="O21" s="11"/>
    </row>
    <row r="22" spans="4:15" x14ac:dyDescent="0.25">
      <c r="D22" s="10"/>
      <c r="I22" s="11"/>
      <c r="O22" s="11"/>
    </row>
    <row r="23" spans="4:15" x14ac:dyDescent="0.25">
      <c r="D23" s="10"/>
      <c r="I23" s="11"/>
      <c r="O23" s="11"/>
    </row>
    <row r="24" spans="4:15" x14ac:dyDescent="0.25">
      <c r="D24" s="10"/>
      <c r="I24" s="11"/>
      <c r="O24" s="11"/>
    </row>
  </sheetData>
  <phoneticPr fontId="1" type="noConversion"/>
  <dataValidations count="17">
    <dataValidation allowBlank="1" showInputMessage="1" showErrorMessage="1" errorTitle="Fehler!" error="Ungültige Eingabe._x000a_" promptTitle="quantitativer Pechnachweis" prompt="Wählen Sie aus der Liste." sqref="R1" xr:uid="{7C085159-B0DA-4B3A-BD1A-F66701A9D3C1}"/>
    <dataValidation errorStyle="information" allowBlank="1" showInputMessage="1" showErrorMessage="1" errorTitle="Achtung!" error="Eingabe nicht unter Vorgaben." promptTitle="Belastungsklasse" prompt="Bitte wählen Sie aus der Liste oder tragen selbst eine Belastungsklasse ein." sqref="N1" xr:uid="{36D5D46E-9324-4BEA-9A15-C12DBBC97689}"/>
    <dataValidation errorStyle="information" allowBlank="1" showInputMessage="1" showErrorMessage="1" errorTitle="Achtung!" error="Oberkante nicht unter der Vorgabe." promptTitle="Oberkante" prompt="Bitte wählen Sie aus der Liste oder tragen selbst eine Oberkante ein." sqref="M1" xr:uid="{CD6A343E-A9A4-4FB6-AD42-F3EE8A87028A}"/>
    <dataValidation errorStyle="information" allowBlank="1" showInputMessage="1" showErrorMessage="1" errorTitle="Achtung!" error="Aufschluss nicht unter den Vorgaben." promptTitle="Aufschluss für UG, OH und BA" prompt="Bitte wählen Sie aus der Liste oder tragen selbst einen Aufschluss ein." sqref="L1" xr:uid="{778F4377-0800-4E7C-876D-D2B999B93CD2}"/>
    <dataValidation errorStyle="information" allowBlank="1" showInputMessage="1" showErrorMessage="1" errorTitle="Achtung!" error="Aufschluss nicht unter den Vorgaben." promptTitle="Aufschluss ToB" prompt="Bitte wählen Sie aus der Liste oder tragen selbst einen Aufschluss ein." sqref="K1" xr:uid="{A7E9BF8F-5E50-46F4-AFA5-A04B4055274E}"/>
    <dataValidation errorStyle="information" allowBlank="1" showInputMessage="1" showErrorMessage="1" errorTitle="Achtung!" error="Aufschluss nicht unter den Vorgaben." promptTitle="Aufschluss geb. Oberboden" prompt="Bitte wählen Sie einen Aufschluss aus der Liste oder tragen selbst einen ein." sqref="J1" xr:uid="{7F1FF105-03C1-449B-96C1-5DC380EDD8F5}"/>
    <dataValidation type="list" errorStyle="information" allowBlank="1" showInputMessage="1" sqref="X23 X25:X1048576 X17:X19 X15 X10:X11 X2:X4 X8" xr:uid="{7DA0F676-1112-4FDF-A639-37799EC1C942}">
      <formula1>FOOTNOTE_AUSWAHL</formula1>
    </dataValidation>
    <dataValidation type="list" allowBlank="1" showInputMessage="1" sqref="X24 X20:X22 X16 X12:X14 Y2:AG1048576 X9 X5:X7" xr:uid="{FE1F40CF-905C-4A1C-84F4-78C8900338D9}">
      <formula1>FOOTNOTE_AUSWAHL</formula1>
    </dataValidation>
    <dataValidation errorStyle="information" allowBlank="1" showInputMessage="1" sqref="X1" xr:uid="{68ADA6D7-3D37-48BA-88DB-4EFAC25AABB4}"/>
    <dataValidation allowBlank="1" showInputMessage="1" sqref="Y1:AG1" xr:uid="{CF737C7D-0277-46F7-AA23-3D178A87F598}"/>
    <dataValidation type="list" errorStyle="information" allowBlank="1" showInputMessage="1" showErrorMessage="1" errorTitle="Achtung!" error="Aufschluss nicht unter den Vorgaben." promptTitle="Aufschluss geb. Oberboden" prompt="Bitte wählen Sie einen Aufschluss aus der Liste oder tragen selbst einen ein." sqref="J2:J1048576" xr:uid="{200A134C-37B8-4153-AC11-C24CBDA4F355}">
      <formula1>AUFSCHLUSS_OB_AUSWAHL</formula1>
    </dataValidation>
    <dataValidation type="list" errorStyle="information" allowBlank="1" showInputMessage="1" showErrorMessage="1" errorTitle="Achtung!" error="Aufschluss nicht unter den Vorgaben." promptTitle="Aufschluss ToB" prompt="Bitte wählen Sie aus der Liste oder tragen selbst einen Aufschluss ein." sqref="K2:K1048576" xr:uid="{EF4F3D00-F80C-4916-8B77-79F1261D1288}">
      <formula1>AUFSCHLUSS_TOB_AUSWAHL</formula1>
    </dataValidation>
    <dataValidation type="list" errorStyle="information" allowBlank="1" showInputMessage="1" showErrorMessage="1" errorTitle="Achtung!" error="Aufschluss nicht unter den Vorgaben." promptTitle="Aufschluss für UG, OH und BA" prompt="Bitte wählen Sie aus der Liste oder tragen selbst einen Aufschluss ein." sqref="L2:L1048576" xr:uid="{EE0051B8-DA66-4774-AEA5-2A5C6299795A}">
      <formula1>AUFSCHLUSS_UG_AUSWAHL</formula1>
    </dataValidation>
    <dataValidation type="list" errorStyle="information" allowBlank="1" showInputMessage="1" showErrorMessage="1" errorTitle="Achtung!" error="Oberkante nicht unter der Vorgabe." promptTitle="Oberkante" prompt="Bitte wählen Sie aus der Liste oder tragen selbst eine Oberkante ein." sqref="M2:M1048576" xr:uid="{3B55915B-49DD-4566-A23C-E4418E081189}">
      <formula1>OBERKANTE_AUSWAHL</formula1>
    </dataValidation>
    <dataValidation type="list" allowBlank="1" showInputMessage="1" showErrorMessage="1" sqref="P2:Q1048576" xr:uid="{00B9042F-3D56-4C20-9B27-58406C8A10E3}">
      <formula1>X_AUSWAHL</formula1>
    </dataValidation>
    <dataValidation type="list" allowBlank="1" showInputMessage="1" showErrorMessage="1" errorTitle="Fehler!" error="Ungültige Eingabe._x000a_" promptTitle="quantitativer Pechnachweis" prompt="Wählen Sie aus der Liste." sqref="R2:R1048576" xr:uid="{9877A45D-D6F0-4482-A624-BF4548611A11}">
      <formula1>X_AUSWAHL</formula1>
    </dataValidation>
    <dataValidation type="list" errorStyle="information" allowBlank="1" showInputMessage="1" showErrorMessage="1" errorTitle="Achtung!" error="Eingabe nicht unter Vorgaben." promptTitle="Belastungsklasse" prompt="Bitte wählen Sie aus der Liste oder tragen selbst eine Belastungsklasse ein." sqref="N2:N1048576" xr:uid="{365BB2BF-2CC1-4F79-88C8-723ED12FB3F6}">
      <formula1>BELASTUNGSKLASSE_AUSWAHL</formula1>
    </dataValidation>
  </dataValidations>
  <pageMargins left="0.7" right="0.7" top="0.78740157499999996" bottom="0.78740157499999996" header="0.3" footer="0.3"/>
  <pageSetup paperSize="9" orientation="portrait" horizontalDpi="360" verticalDpi="360" r:id="rId1"/>
  <ignoredErrors>
    <ignoredError sqref="N4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EF97-8A87-48A3-BFDB-CC195B89FCDE}">
  <sheetPr>
    <tabColor theme="7" tint="0.39997558519241921"/>
  </sheetPr>
  <dimension ref="A1:AE97"/>
  <sheetViews>
    <sheetView workbookViewId="0">
      <pane xSplit="9" topLeftCell="J1" activePane="topRight" state="frozen"/>
      <selection pane="topRight" activeCell="G10" sqref="G10"/>
    </sheetView>
  </sheetViews>
  <sheetFormatPr baseColWidth="10" defaultColWidth="11.42578125" defaultRowHeight="15" x14ac:dyDescent="0.25"/>
  <cols>
    <col min="1" max="1" width="7.42578125" customWidth="1"/>
    <col min="2" max="2" width="11.5703125" bestFit="1" customWidth="1"/>
    <col min="3" max="3" width="15.85546875" bestFit="1" customWidth="1"/>
    <col min="4" max="4" width="9.42578125" bestFit="1" customWidth="1"/>
    <col min="5" max="5" width="9.42578125" customWidth="1"/>
    <col min="6" max="6" width="6.140625" customWidth="1"/>
    <col min="7" max="7" width="12" bestFit="1" customWidth="1"/>
    <col min="8" max="8" width="14.7109375" bestFit="1" customWidth="1"/>
    <col min="9" max="9" width="20.140625" bestFit="1" customWidth="1"/>
    <col min="10" max="10" width="13.7109375" style="12" bestFit="1" customWidth="1"/>
    <col min="11" max="11" width="21" style="12" customWidth="1"/>
    <col min="12" max="12" width="8.42578125" bestFit="1" customWidth="1"/>
    <col min="13" max="13" width="14.28515625" bestFit="1" customWidth="1"/>
    <col min="14" max="14" width="13.5703125" bestFit="1" customWidth="1"/>
    <col min="15" max="15" width="7.85546875" bestFit="1" customWidth="1"/>
    <col min="16" max="16" width="32.140625" bestFit="1" customWidth="1"/>
    <col min="17" max="17" width="8.85546875" bestFit="1" customWidth="1"/>
    <col min="18" max="18" width="13" bestFit="1" customWidth="1"/>
    <col min="19" max="19" width="14.28515625" bestFit="1" customWidth="1"/>
    <col min="20" max="20" width="15.85546875" bestFit="1" customWidth="1"/>
    <col min="21" max="21" width="17.5703125" bestFit="1" customWidth="1"/>
    <col min="22" max="22" width="19.28515625" style="12" bestFit="1" customWidth="1"/>
    <col min="23" max="23" width="8.7109375" bestFit="1" customWidth="1"/>
    <col min="24" max="24" width="13.85546875" bestFit="1" customWidth="1"/>
    <col min="25" max="25" width="15" bestFit="1" customWidth="1"/>
    <col min="26" max="26" width="10.7109375" bestFit="1" customWidth="1"/>
    <col min="27" max="27" width="29.42578125" style="12" bestFit="1" customWidth="1"/>
    <col min="28" max="28" width="19.28515625" style="12" bestFit="1" customWidth="1"/>
    <col min="29" max="29" width="32.42578125" style="12" bestFit="1" customWidth="1"/>
    <col min="30" max="30" width="27.85546875" bestFit="1" customWidth="1"/>
    <col min="31" max="31" width="29.42578125" style="12" customWidth="1"/>
  </cols>
  <sheetData>
    <row r="1" spans="1:31" x14ac:dyDescent="0.25">
      <c r="A1" s="15" t="s">
        <v>9</v>
      </c>
      <c r="B1" s="15" t="s">
        <v>15</v>
      </c>
      <c r="C1" s="16" t="s">
        <v>21</v>
      </c>
      <c r="D1" s="17" t="s">
        <v>26</v>
      </c>
      <c r="E1" s="17" t="s">
        <v>25</v>
      </c>
      <c r="F1" s="17" t="s">
        <v>473</v>
      </c>
      <c r="G1" s="17" t="s">
        <v>10</v>
      </c>
      <c r="H1" s="17" t="s">
        <v>77</v>
      </c>
      <c r="I1" s="17" t="s">
        <v>78</v>
      </c>
      <c r="J1" s="23" t="s">
        <v>79</v>
      </c>
      <c r="K1" s="24" t="s">
        <v>80</v>
      </c>
      <c r="L1" s="15" t="s">
        <v>81</v>
      </c>
      <c r="M1" s="17" t="s">
        <v>82</v>
      </c>
      <c r="N1" s="17" t="s">
        <v>83</v>
      </c>
      <c r="O1" s="17" t="s">
        <v>84</v>
      </c>
      <c r="P1" s="17" t="s">
        <v>86</v>
      </c>
      <c r="Q1" s="17" t="s">
        <v>87</v>
      </c>
      <c r="R1" s="17" t="s">
        <v>88</v>
      </c>
      <c r="S1" s="15" t="s">
        <v>89</v>
      </c>
      <c r="T1" s="15" t="s">
        <v>90</v>
      </c>
      <c r="U1" s="16" t="s">
        <v>91</v>
      </c>
      <c r="V1" s="23" t="s">
        <v>92</v>
      </c>
      <c r="W1" s="17" t="s">
        <v>93</v>
      </c>
      <c r="X1" s="17" t="s">
        <v>94</v>
      </c>
      <c r="Y1" s="17" t="s">
        <v>95</v>
      </c>
      <c r="Z1" s="17" t="s">
        <v>49</v>
      </c>
      <c r="AA1" s="24" t="s">
        <v>96</v>
      </c>
      <c r="AB1" s="24" t="s">
        <v>97</v>
      </c>
      <c r="AC1" s="23" t="s">
        <v>98</v>
      </c>
      <c r="AD1" s="17" t="s">
        <v>99</v>
      </c>
      <c r="AE1" s="23" t="s">
        <v>100</v>
      </c>
    </row>
    <row r="2" spans="1:31" x14ac:dyDescent="0.25">
      <c r="A2" t="str">
        <f>"SE"&amp;ROW()-1</f>
        <v>SE1</v>
      </c>
      <c r="B2" t="s">
        <v>0</v>
      </c>
      <c r="C2" s="10" t="s">
        <v>347</v>
      </c>
      <c r="D2" t="s">
        <v>5</v>
      </c>
      <c r="F2" t="str">
        <f>"LAYER"</f>
        <v>LAYER</v>
      </c>
      <c r="G2">
        <v>1</v>
      </c>
      <c r="H2" t="s">
        <v>192</v>
      </c>
      <c r="I2" t="s">
        <v>191</v>
      </c>
      <c r="J2" s="25" t="s">
        <v>315</v>
      </c>
      <c r="L2">
        <v>5</v>
      </c>
      <c r="M2">
        <f ca="1">Erkundungsstelle.Sample.Table[[#This Row],[TIEFE_ENDE]]-Erkundungsstelle.Sample.Table[[#This Row],[DICKE]]</f>
        <v>0</v>
      </c>
      <c r="N2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5</v>
      </c>
      <c r="O2" t="s">
        <v>222</v>
      </c>
      <c r="P2" t="s">
        <v>218</v>
      </c>
      <c r="Q2" t="s">
        <v>463</v>
      </c>
      <c r="R2" s="11" t="s">
        <v>219</v>
      </c>
      <c r="S2" t="s">
        <v>220</v>
      </c>
      <c r="T2" t="s">
        <v>221</v>
      </c>
      <c r="U2" s="12">
        <v>1</v>
      </c>
      <c r="V2" s="12">
        <v>1</v>
      </c>
      <c r="Y2" t="str" cm="1">
        <f t="array" ref="Y2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bit. Befestigung</v>
      </c>
      <c r="Z2" s="11" t="str">
        <f>IF(Erkundungsstelle.Sample.Table[[#This Row],[PECH]]="JA","auffällig",IF(Erkundungsstelle.Sample.Table[[#This Row],[ART]]&lt;&gt;"","neutral",""))</f>
        <v>auffällig</v>
      </c>
      <c r="AA2" s="12">
        <v>1</v>
      </c>
      <c r="AB2" s="12" t="s">
        <v>464</v>
      </c>
      <c r="AC2" s="12" t="s">
        <v>464</v>
      </c>
      <c r="AD2" t="s">
        <v>222</v>
      </c>
      <c r="AE2" s="12" t="s">
        <v>464</v>
      </c>
    </row>
    <row r="3" spans="1:31" x14ac:dyDescent="0.25">
      <c r="A3" t="str">
        <f t="shared" ref="A3" si="0">"SE"&amp;ROW()-1</f>
        <v>SE2</v>
      </c>
      <c r="B3" t="s">
        <v>0</v>
      </c>
      <c r="C3" s="10" t="s">
        <v>3</v>
      </c>
      <c r="D3" t="s">
        <v>521</v>
      </c>
      <c r="F3" t="str">
        <f t="shared" ref="F3:F52" si="1">"LAYER"</f>
        <v>LAYER</v>
      </c>
      <c r="G3">
        <v>2</v>
      </c>
      <c r="H3" t="s">
        <v>192</v>
      </c>
      <c r="I3" t="s">
        <v>191</v>
      </c>
      <c r="J3" s="25" t="s">
        <v>315</v>
      </c>
      <c r="L3">
        <v>3</v>
      </c>
      <c r="M3">
        <f ca="1">Erkundungsstelle.Sample.Table[[#This Row],[TIEFE_ENDE]]-Erkundungsstelle.Sample.Table[[#This Row],[DICKE]]</f>
        <v>5</v>
      </c>
      <c r="N3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8</v>
      </c>
      <c r="O3" t="s">
        <v>193</v>
      </c>
      <c r="P3" t="s">
        <v>235</v>
      </c>
      <c r="Q3" t="s">
        <v>448</v>
      </c>
      <c r="R3" s="11" t="s">
        <v>236</v>
      </c>
      <c r="S3" t="s">
        <v>237</v>
      </c>
      <c r="T3" t="s">
        <v>238</v>
      </c>
      <c r="U3" s="12">
        <v>2</v>
      </c>
      <c r="V3" s="12">
        <v>2</v>
      </c>
      <c r="Y3" t="str" cm="1">
        <f t="array" ref="Y3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Asphalt</v>
      </c>
      <c r="Z3" s="11" t="str">
        <f>IF(Erkundungsstelle.Sample.Table[[#This Row],[PECH]]="JA","auffällig",IF(Erkundungsstelle.Sample.Table[[#This Row],[ART]]&lt;&gt;"","neutral",""))</f>
        <v>neutral</v>
      </c>
      <c r="AA3" s="12">
        <v>2</v>
      </c>
      <c r="AB3" s="12" t="s">
        <v>465</v>
      </c>
      <c r="AC3" s="12" t="s">
        <v>465</v>
      </c>
      <c r="AD3" t="s">
        <v>193</v>
      </c>
      <c r="AE3" s="12" t="s">
        <v>465</v>
      </c>
    </row>
    <row r="4" spans="1:31" x14ac:dyDescent="0.25">
      <c r="A4" t="str">
        <f t="shared" ref="A4:A52" si="2">"SE"&amp;ROW()-1</f>
        <v>SE3</v>
      </c>
      <c r="B4" t="s">
        <v>0</v>
      </c>
      <c r="C4" s="10" t="s">
        <v>347</v>
      </c>
      <c r="D4" t="s">
        <v>522</v>
      </c>
      <c r="F4" t="str">
        <f t="shared" si="1"/>
        <v>LAYER</v>
      </c>
      <c r="G4">
        <v>3</v>
      </c>
      <c r="H4" t="s">
        <v>192</v>
      </c>
      <c r="I4" t="s">
        <v>523</v>
      </c>
      <c r="J4" s="25" t="s">
        <v>348</v>
      </c>
      <c r="L4">
        <v>4.2</v>
      </c>
      <c r="M4">
        <f ca="1">Erkundungsstelle.Sample.Table[[#This Row],[TIEFE_ENDE]]-Erkundungsstelle.Sample.Table[[#This Row],[DICKE]]</f>
        <v>7.9999999999999991</v>
      </c>
      <c r="N4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12.2</v>
      </c>
      <c r="O4" t="s">
        <v>193</v>
      </c>
      <c r="P4" t="s">
        <v>253</v>
      </c>
      <c r="Q4" t="s">
        <v>551</v>
      </c>
      <c r="R4" s="11" t="s">
        <v>254</v>
      </c>
      <c r="S4" t="s">
        <v>255</v>
      </c>
      <c r="T4" t="s">
        <v>256</v>
      </c>
      <c r="U4" s="12">
        <v>3</v>
      </c>
      <c r="V4" s="12">
        <v>3</v>
      </c>
      <c r="Y4" t="str" cm="1">
        <f t="array" ref="Y4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Asphalt</v>
      </c>
      <c r="Z4" s="11" t="str">
        <f>IF(Erkundungsstelle.Sample.Table[[#This Row],[PECH]]="JA","auffällig",IF(Erkundungsstelle.Sample.Table[[#This Row],[ART]]&lt;&gt;"","neutral",""))</f>
        <v>neutral</v>
      </c>
      <c r="AA4" s="12">
        <v>3</v>
      </c>
      <c r="AB4" s="12" t="s">
        <v>562</v>
      </c>
      <c r="AC4" s="12" t="s">
        <v>562</v>
      </c>
      <c r="AD4" t="s">
        <v>222</v>
      </c>
      <c r="AE4" s="12" t="s">
        <v>562</v>
      </c>
    </row>
    <row r="5" spans="1:31" x14ac:dyDescent="0.25">
      <c r="A5" t="str">
        <f t="shared" si="2"/>
        <v>SE4</v>
      </c>
      <c r="B5" t="s">
        <v>0</v>
      </c>
      <c r="C5" s="10" t="s">
        <v>524</v>
      </c>
      <c r="E5" t="s">
        <v>4</v>
      </c>
      <c r="F5" t="str">
        <f t="shared" si="1"/>
        <v>LAYER</v>
      </c>
      <c r="G5">
        <v>4</v>
      </c>
      <c r="H5" t="s">
        <v>233</v>
      </c>
      <c r="I5" t="s">
        <v>525</v>
      </c>
      <c r="J5" s="25" t="s">
        <v>315</v>
      </c>
      <c r="L5">
        <v>3</v>
      </c>
      <c r="M5">
        <f ca="1">Erkundungsstelle.Sample.Table[[#This Row],[TIEFE_ENDE]]-Erkundungsstelle.Sample.Table[[#This Row],[DICKE]]</f>
        <v>12.2</v>
      </c>
      <c r="N5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15.2</v>
      </c>
      <c r="P5" t="s">
        <v>266</v>
      </c>
      <c r="Q5" t="s">
        <v>552</v>
      </c>
      <c r="R5" s="11" t="s">
        <v>267</v>
      </c>
      <c r="S5" t="s">
        <v>268</v>
      </c>
      <c r="T5" t="s">
        <v>269</v>
      </c>
      <c r="U5" s="12">
        <v>4</v>
      </c>
      <c r="V5" s="12">
        <v>4</v>
      </c>
      <c r="X5" t="s">
        <v>265</v>
      </c>
      <c r="Y5" t="str" cm="1">
        <f t="array" ref="Y5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(LS)</v>
      </c>
      <c r="Z5" s="11" t="str">
        <f>IF(Erkundungsstelle.Sample.Table[[#This Row],[PECH]]="JA","auffällig",IF(Erkundungsstelle.Sample.Table[[#This Row],[ART]]&lt;&gt;"","neutral",""))</f>
        <v>neutral</v>
      </c>
      <c r="AA5" s="12">
        <v>4</v>
      </c>
      <c r="AB5" s="12" t="s">
        <v>464</v>
      </c>
      <c r="AC5" s="12" t="s">
        <v>464</v>
      </c>
      <c r="AD5" t="s">
        <v>193</v>
      </c>
      <c r="AE5" s="12" t="s">
        <v>464</v>
      </c>
    </row>
    <row r="6" spans="1:31" x14ac:dyDescent="0.25">
      <c r="A6" t="str">
        <f t="shared" si="2"/>
        <v>SE5</v>
      </c>
      <c r="B6" t="s">
        <v>0</v>
      </c>
      <c r="C6" s="10" t="s">
        <v>526</v>
      </c>
      <c r="F6" t="str">
        <f t="shared" si="1"/>
        <v>LAYER</v>
      </c>
      <c r="G6">
        <v>5</v>
      </c>
      <c r="H6" t="s">
        <v>233</v>
      </c>
      <c r="I6" t="s">
        <v>527</v>
      </c>
      <c r="J6" s="25" t="s">
        <v>528</v>
      </c>
      <c r="L6">
        <v>6</v>
      </c>
      <c r="M6">
        <f ca="1">Erkundungsstelle.Sample.Table[[#This Row],[TIEFE_ENDE]]-Erkundungsstelle.Sample.Table[[#This Row],[DICKE]]</f>
        <v>15.2</v>
      </c>
      <c r="N6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21.2</v>
      </c>
      <c r="Q6" t="s">
        <v>463</v>
      </c>
      <c r="R6" s="11" t="s">
        <v>219</v>
      </c>
      <c r="S6" t="s">
        <v>277</v>
      </c>
      <c r="T6" t="s">
        <v>278</v>
      </c>
      <c r="U6" s="12">
        <v>5</v>
      </c>
      <c r="V6" s="12">
        <v>5</v>
      </c>
      <c r="X6" t="s">
        <v>276</v>
      </c>
      <c r="Y6" t="str" cm="1">
        <f t="array" ref="Y6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(NS)</v>
      </c>
      <c r="Z6" s="11" t="str">
        <f>IF(Erkundungsstelle.Sample.Table[[#This Row],[PECH]]="JA","auffällig",IF(Erkundungsstelle.Sample.Table[[#This Row],[ART]]&lt;&gt;"","neutral",""))</f>
        <v>neutral</v>
      </c>
      <c r="AA6" s="12">
        <v>5</v>
      </c>
      <c r="AB6" s="12" t="s">
        <v>465</v>
      </c>
      <c r="AC6" s="12" t="s">
        <v>465</v>
      </c>
      <c r="AD6" t="s">
        <v>222</v>
      </c>
      <c r="AE6" s="12" t="s">
        <v>465</v>
      </c>
    </row>
    <row r="7" spans="1:31" x14ac:dyDescent="0.25">
      <c r="A7" t="str">
        <f t="shared" si="2"/>
        <v>SE6</v>
      </c>
      <c r="B7" t="s">
        <v>0</v>
      </c>
      <c r="C7" s="10" t="s">
        <v>529</v>
      </c>
      <c r="F7" t="str">
        <f t="shared" si="1"/>
        <v>LAYER</v>
      </c>
      <c r="G7">
        <v>6</v>
      </c>
      <c r="H7" t="s">
        <v>251</v>
      </c>
      <c r="I7" t="s">
        <v>530</v>
      </c>
      <c r="J7" s="25"/>
      <c r="L7">
        <v>78</v>
      </c>
      <c r="M7">
        <f ca="1">Erkundungsstelle.Sample.Table[[#This Row],[TIEFE_ENDE]]-Erkundungsstelle.Sample.Table[[#This Row],[DICKE]]</f>
        <v>21.200000000000003</v>
      </c>
      <c r="N7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99.2</v>
      </c>
      <c r="P7" t="s">
        <v>235</v>
      </c>
      <c r="Q7" t="s">
        <v>448</v>
      </c>
      <c r="R7" s="11" t="s">
        <v>236</v>
      </c>
      <c r="S7" t="s">
        <v>284</v>
      </c>
      <c r="T7" t="s">
        <v>221</v>
      </c>
      <c r="U7" s="12">
        <v>6</v>
      </c>
      <c r="V7" s="12">
        <v>6</v>
      </c>
      <c r="X7" t="s">
        <v>252</v>
      </c>
      <c r="Y7" t="str" cm="1">
        <f t="array" ref="Y7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Boden</v>
      </c>
      <c r="Z7" s="11" t="str">
        <f>IF(Erkundungsstelle.Sample.Table[[#This Row],[PECH]]="JA","auffällig",IF(Erkundungsstelle.Sample.Table[[#This Row],[ART]]&lt;&gt;"","neutral",""))</f>
        <v>neutral</v>
      </c>
      <c r="AA7" s="12">
        <v>6</v>
      </c>
      <c r="AB7" s="12" t="s">
        <v>562</v>
      </c>
      <c r="AC7" s="12" t="s">
        <v>562</v>
      </c>
      <c r="AD7" t="s">
        <v>193</v>
      </c>
      <c r="AE7" s="12" t="s">
        <v>562</v>
      </c>
    </row>
    <row r="8" spans="1:31" x14ac:dyDescent="0.25">
      <c r="A8" t="str">
        <f t="shared" si="2"/>
        <v>SE7</v>
      </c>
      <c r="B8" t="s">
        <v>0</v>
      </c>
      <c r="C8" s="10" t="s">
        <v>531</v>
      </c>
      <c r="F8" t="str">
        <f t="shared" si="1"/>
        <v>LAYER</v>
      </c>
      <c r="G8">
        <v>7</v>
      </c>
      <c r="H8" t="s">
        <v>251</v>
      </c>
      <c r="I8" t="s">
        <v>530</v>
      </c>
      <c r="J8" s="25"/>
      <c r="L8">
        <v>9</v>
      </c>
      <c r="M8">
        <f ca="1">Erkundungsstelle.Sample.Table[[#This Row],[TIEFE_ENDE]]-Erkundungsstelle.Sample.Table[[#This Row],[DICKE]]</f>
        <v>99.2</v>
      </c>
      <c r="N8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108.2</v>
      </c>
      <c r="P8" t="s">
        <v>253</v>
      </c>
      <c r="Q8" t="s">
        <v>551</v>
      </c>
      <c r="R8" s="11" t="s">
        <v>254</v>
      </c>
      <c r="S8" t="s">
        <v>290</v>
      </c>
      <c r="T8" t="s">
        <v>238</v>
      </c>
      <c r="U8" s="12">
        <v>7</v>
      </c>
      <c r="V8" s="12">
        <v>7</v>
      </c>
      <c r="X8" t="s">
        <v>217</v>
      </c>
      <c r="Y8" t="str" cm="1">
        <f t="array" ref="Y8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Boden</v>
      </c>
      <c r="Z8" s="11" t="str">
        <f>IF(Erkundungsstelle.Sample.Table[[#This Row],[PECH]]="JA","auffällig",IF(Erkundungsstelle.Sample.Table[[#This Row],[ART]]&lt;&gt;"","neutral",""))</f>
        <v>neutral</v>
      </c>
      <c r="AA8" s="12">
        <v>7</v>
      </c>
      <c r="AB8" s="12" t="s">
        <v>464</v>
      </c>
      <c r="AC8" s="12" t="s">
        <v>464</v>
      </c>
      <c r="AD8" t="s">
        <v>222</v>
      </c>
      <c r="AE8" s="12" t="s">
        <v>464</v>
      </c>
    </row>
    <row r="9" spans="1:31" x14ac:dyDescent="0.25">
      <c r="A9" t="str">
        <f t="shared" si="2"/>
        <v>SE8</v>
      </c>
      <c r="B9" t="s">
        <v>0</v>
      </c>
      <c r="C9" s="10" t="s">
        <v>532</v>
      </c>
      <c r="F9" t="str">
        <f t="shared" si="1"/>
        <v>LAYER</v>
      </c>
      <c r="G9">
        <v>8</v>
      </c>
      <c r="H9" t="s">
        <v>251</v>
      </c>
      <c r="I9" t="s">
        <v>533</v>
      </c>
      <c r="J9" s="25"/>
      <c r="L9">
        <v>12</v>
      </c>
      <c r="M9">
        <f ca="1">Erkundungsstelle.Sample.Table[[#This Row],[TIEFE_ENDE]]-Erkundungsstelle.Sample.Table[[#This Row],[DICKE]]</f>
        <v>108.2</v>
      </c>
      <c r="N9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120.2</v>
      </c>
      <c r="P9" t="s">
        <v>266</v>
      </c>
      <c r="Q9" t="s">
        <v>552</v>
      </c>
      <c r="R9" s="11" t="s">
        <v>267</v>
      </c>
      <c r="S9" t="s">
        <v>295</v>
      </c>
      <c r="T9" t="s">
        <v>256</v>
      </c>
      <c r="U9" s="12">
        <v>8</v>
      </c>
      <c r="V9" s="12">
        <v>8</v>
      </c>
      <c r="X9" t="s">
        <v>234</v>
      </c>
      <c r="Y9" t="str" cm="1">
        <f t="array" ref="Y9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Boden</v>
      </c>
      <c r="Z9" s="11" t="str">
        <f>IF(Erkundungsstelle.Sample.Table[[#This Row],[PECH]]="JA","auffällig",IF(Erkundungsstelle.Sample.Table[[#This Row],[ART]]&lt;&gt;"","neutral",""))</f>
        <v>neutral</v>
      </c>
      <c r="AA9" s="12">
        <v>8</v>
      </c>
      <c r="AB9" s="12" t="s">
        <v>465</v>
      </c>
      <c r="AC9" s="12" t="s">
        <v>465</v>
      </c>
      <c r="AD9" t="s">
        <v>193</v>
      </c>
      <c r="AE9" s="12" t="s">
        <v>465</v>
      </c>
    </row>
    <row r="10" spans="1:31" x14ac:dyDescent="0.25">
      <c r="A10" t="str">
        <f t="shared" si="2"/>
        <v>SE9</v>
      </c>
      <c r="B10" t="s">
        <v>0</v>
      </c>
      <c r="C10" s="10" t="s">
        <v>534</v>
      </c>
      <c r="F10" t="str">
        <f t="shared" si="1"/>
        <v>LAYER</v>
      </c>
      <c r="G10">
        <v>9</v>
      </c>
      <c r="H10" t="s">
        <v>251</v>
      </c>
      <c r="I10" t="s">
        <v>535</v>
      </c>
      <c r="J10" s="25"/>
      <c r="L10">
        <v>15</v>
      </c>
      <c r="M10">
        <f ca="1">Erkundungsstelle.Sample.Table[[#This Row],[TIEFE_ENDE]]-Erkundungsstelle.Sample.Table[[#This Row],[DICKE]]</f>
        <v>120.19999999999999</v>
      </c>
      <c r="N10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135.19999999999999</v>
      </c>
      <c r="P10" t="s">
        <v>218</v>
      </c>
      <c r="Q10" t="s">
        <v>463</v>
      </c>
      <c r="R10" s="11" t="s">
        <v>219</v>
      </c>
      <c r="S10" t="s">
        <v>220</v>
      </c>
      <c r="T10" t="s">
        <v>269</v>
      </c>
      <c r="U10" s="12">
        <v>9</v>
      </c>
      <c r="V10" s="12">
        <v>9</v>
      </c>
      <c r="X10" t="s">
        <v>234</v>
      </c>
      <c r="Y10" t="str" cm="1">
        <f t="array" ref="Y10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Boden</v>
      </c>
      <c r="Z10" s="11" t="str">
        <f>IF(Erkundungsstelle.Sample.Table[[#This Row],[PECH]]="JA","auffällig",IF(Erkundungsstelle.Sample.Table[[#This Row],[ART]]&lt;&gt;"","neutral",""))</f>
        <v>neutral</v>
      </c>
      <c r="AA10" s="12">
        <v>9</v>
      </c>
      <c r="AB10" s="12" t="s">
        <v>562</v>
      </c>
      <c r="AC10" s="12" t="s">
        <v>562</v>
      </c>
      <c r="AD10" t="s">
        <v>222</v>
      </c>
      <c r="AE10" s="12" t="s">
        <v>562</v>
      </c>
    </row>
    <row r="11" spans="1:31" x14ac:dyDescent="0.25">
      <c r="A11" t="str">
        <f t="shared" si="2"/>
        <v>SE10</v>
      </c>
      <c r="B11" t="s">
        <v>457</v>
      </c>
      <c r="C11" s="10"/>
      <c r="D11" t="s">
        <v>521</v>
      </c>
      <c r="F11" t="str">
        <f t="shared" si="1"/>
        <v>LAYER</v>
      </c>
      <c r="G11">
        <v>1</v>
      </c>
      <c r="H11" t="s">
        <v>192</v>
      </c>
      <c r="I11" t="s">
        <v>523</v>
      </c>
      <c r="J11" s="25"/>
      <c r="L11">
        <v>3</v>
      </c>
      <c r="M11">
        <f ca="1">Erkundungsstelle.Sample.Table[[#This Row],[TIEFE_ENDE]]-Erkundungsstelle.Sample.Table[[#This Row],[DICKE]]</f>
        <v>0</v>
      </c>
      <c r="N11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</v>
      </c>
      <c r="O11" t="s">
        <v>222</v>
      </c>
      <c r="P11" t="s">
        <v>235</v>
      </c>
      <c r="Q11" t="s">
        <v>448</v>
      </c>
      <c r="R11" s="11" t="s">
        <v>236</v>
      </c>
      <c r="S11" t="s">
        <v>237</v>
      </c>
      <c r="T11" t="s">
        <v>278</v>
      </c>
      <c r="U11" s="12">
        <v>10</v>
      </c>
      <c r="V11" s="12">
        <v>10</v>
      </c>
      <c r="Y11" t="str" cm="1">
        <f t="array" ref="Y11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bit. Befestigung</v>
      </c>
      <c r="Z11" s="11" t="str">
        <f>IF(Erkundungsstelle.Sample.Table[[#This Row],[PECH]]="JA","auffällig",IF(Erkundungsstelle.Sample.Table[[#This Row],[ART]]&lt;&gt;"","neutral",""))</f>
        <v>auffällig</v>
      </c>
      <c r="AA11" s="12">
        <v>10</v>
      </c>
      <c r="AB11" s="12" t="s">
        <v>464</v>
      </c>
      <c r="AC11" s="12" t="s">
        <v>464</v>
      </c>
      <c r="AD11" t="s">
        <v>193</v>
      </c>
      <c r="AE11" s="12" t="s">
        <v>464</v>
      </c>
    </row>
    <row r="12" spans="1:31" x14ac:dyDescent="0.25">
      <c r="A12" t="str">
        <f t="shared" si="2"/>
        <v>SE11</v>
      </c>
      <c r="B12" t="s">
        <v>457</v>
      </c>
      <c r="C12" s="10" t="s">
        <v>524</v>
      </c>
      <c r="D12" t="s">
        <v>522</v>
      </c>
      <c r="F12" t="str">
        <f t="shared" si="1"/>
        <v>LAYER</v>
      </c>
      <c r="G12">
        <v>2</v>
      </c>
      <c r="H12" t="s">
        <v>192</v>
      </c>
      <c r="I12" t="s">
        <v>536</v>
      </c>
      <c r="J12" s="25"/>
      <c r="L12">
        <v>6</v>
      </c>
      <c r="M12">
        <f ca="1">Erkundungsstelle.Sample.Table[[#This Row],[TIEFE_ENDE]]-Erkundungsstelle.Sample.Table[[#This Row],[DICKE]]</f>
        <v>3</v>
      </c>
      <c r="N12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9</v>
      </c>
      <c r="O12" t="s">
        <v>193</v>
      </c>
      <c r="R12" s="11"/>
      <c r="U12" s="12"/>
      <c r="Y12" t="str" cm="1">
        <f t="array" ref="Y12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Pechfreie Schicht</v>
      </c>
      <c r="Z12" s="11" t="str">
        <f>IF(Erkundungsstelle.Sample.Table[[#This Row],[PECH]]="JA","auffällig",IF(Erkundungsstelle.Sample.Table[[#This Row],[ART]]&lt;&gt;"","neutral",""))</f>
        <v>neutral</v>
      </c>
    </row>
    <row r="13" spans="1:31" x14ac:dyDescent="0.25">
      <c r="A13" t="str">
        <f t="shared" si="2"/>
        <v>SE12</v>
      </c>
      <c r="B13" t="s">
        <v>457</v>
      </c>
      <c r="C13" s="10"/>
      <c r="F13" t="str">
        <f t="shared" si="1"/>
        <v>LAYER</v>
      </c>
      <c r="G13">
        <v>3</v>
      </c>
      <c r="H13" t="s">
        <v>233</v>
      </c>
      <c r="I13" t="s">
        <v>233</v>
      </c>
      <c r="J13" s="25"/>
      <c r="L13">
        <v>1</v>
      </c>
      <c r="M13">
        <f ca="1">Erkundungsstelle.Sample.Table[[#This Row],[TIEFE_ENDE]]-Erkundungsstelle.Sample.Table[[#This Row],[DICKE]]</f>
        <v>9</v>
      </c>
      <c r="N13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10</v>
      </c>
      <c r="R13" s="11"/>
      <c r="U13" s="12"/>
      <c r="Y13" t="str" cm="1">
        <f t="array" ref="Y13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TOB</v>
      </c>
      <c r="Z13" s="11" t="str">
        <f>IF(Erkundungsstelle.Sample.Table[[#This Row],[PECH]]="JA","auffällig",IF(Erkundungsstelle.Sample.Table[[#This Row],[ART]]&lt;&gt;"","neutral",""))</f>
        <v>neutral</v>
      </c>
    </row>
    <row r="14" spans="1:31" x14ac:dyDescent="0.25">
      <c r="A14" t="str">
        <f t="shared" si="2"/>
        <v>SE13</v>
      </c>
      <c r="B14" t="s">
        <v>457</v>
      </c>
      <c r="C14" s="10"/>
      <c r="F14" t="str">
        <f t="shared" si="1"/>
        <v>LAYER</v>
      </c>
      <c r="G14">
        <v>4</v>
      </c>
      <c r="H14" t="s">
        <v>264</v>
      </c>
      <c r="I14" t="s">
        <v>537</v>
      </c>
      <c r="J14" s="25"/>
      <c r="K14" s="12" t="s">
        <v>736</v>
      </c>
      <c r="L14">
        <v>17</v>
      </c>
      <c r="M14">
        <f ca="1">Erkundungsstelle.Sample.Table[[#This Row],[TIEFE_ENDE]]-Erkundungsstelle.Sample.Table[[#This Row],[DICKE]]</f>
        <v>10</v>
      </c>
      <c r="N14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27</v>
      </c>
      <c r="R14" s="11"/>
      <c r="U14" s="12"/>
      <c r="Y14" t="str" cm="1">
        <f t="array" ref="Y14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Oberboden</v>
      </c>
      <c r="Z14" s="11" t="str">
        <f>IF(Erkundungsstelle.Sample.Table[[#This Row],[PECH]]="JA","auffällig",IF(Erkundungsstelle.Sample.Table[[#This Row],[ART]]&lt;&gt;"","neutral",""))</f>
        <v>neutral</v>
      </c>
      <c r="AE14" s="12" t="s">
        <v>737</v>
      </c>
    </row>
    <row r="15" spans="1:31" x14ac:dyDescent="0.25">
      <c r="A15" t="str">
        <f t="shared" si="2"/>
        <v>SE14</v>
      </c>
      <c r="B15" t="s">
        <v>457</v>
      </c>
      <c r="C15" s="10" t="s">
        <v>3</v>
      </c>
      <c r="F15" t="str">
        <f t="shared" si="1"/>
        <v>LAYER</v>
      </c>
      <c r="G15">
        <v>5</v>
      </c>
      <c r="H15" t="s">
        <v>251</v>
      </c>
      <c r="I15" t="s">
        <v>530</v>
      </c>
      <c r="J15" s="25"/>
      <c r="L15">
        <v>6</v>
      </c>
      <c r="M15">
        <f ca="1">Erkundungsstelle.Sample.Table[[#This Row],[TIEFE_ENDE]]-Erkundungsstelle.Sample.Table[[#This Row],[DICKE]]</f>
        <v>27</v>
      </c>
      <c r="N15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33</v>
      </c>
      <c r="P15" t="s">
        <v>253</v>
      </c>
      <c r="Q15" t="s">
        <v>551</v>
      </c>
      <c r="R15" s="11" t="s">
        <v>254</v>
      </c>
      <c r="S15" t="s">
        <v>255</v>
      </c>
      <c r="T15" t="s">
        <v>221</v>
      </c>
      <c r="U15" s="12">
        <v>11</v>
      </c>
      <c r="V15" s="12">
        <v>11</v>
      </c>
      <c r="X15" t="s">
        <v>276</v>
      </c>
      <c r="Y15" t="str" cm="1">
        <f t="array" ref="Y15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Boden</v>
      </c>
      <c r="Z15" s="11" t="str">
        <f>IF(Erkundungsstelle.Sample.Table[[#This Row],[PECH]]="JA","auffällig",IF(Erkundungsstelle.Sample.Table[[#This Row],[ART]]&lt;&gt;"","neutral",""))</f>
        <v>neutral</v>
      </c>
      <c r="AA15" s="12">
        <v>11</v>
      </c>
      <c r="AB15" s="12" t="s">
        <v>465</v>
      </c>
      <c r="AC15" s="12" t="s">
        <v>465</v>
      </c>
      <c r="AD15" t="s">
        <v>222</v>
      </c>
      <c r="AE15" s="12" t="s">
        <v>465</v>
      </c>
    </row>
    <row r="16" spans="1:31" x14ac:dyDescent="0.25">
      <c r="A16" t="str">
        <f t="shared" si="2"/>
        <v>SE15</v>
      </c>
      <c r="B16" t="s">
        <v>514</v>
      </c>
      <c r="C16" s="10" t="s">
        <v>3</v>
      </c>
      <c r="D16" t="s">
        <v>5</v>
      </c>
      <c r="F16" t="str">
        <f t="shared" si="1"/>
        <v>LAYER</v>
      </c>
      <c r="G16">
        <v>1</v>
      </c>
      <c r="H16" t="s">
        <v>301</v>
      </c>
      <c r="I16" t="s">
        <v>264</v>
      </c>
      <c r="J16" s="25"/>
      <c r="L16">
        <v>4</v>
      </c>
      <c r="M16">
        <f ca="1">Erkundungsstelle.Sample.Table[[#This Row],[TIEFE_ENDE]]-Erkundungsstelle.Sample.Table[[#This Row],[DICKE]]</f>
        <v>0</v>
      </c>
      <c r="N16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4</v>
      </c>
      <c r="P16" t="s">
        <v>266</v>
      </c>
      <c r="Q16" t="s">
        <v>552</v>
      </c>
      <c r="R16" s="11" t="s">
        <v>267</v>
      </c>
      <c r="S16" t="s">
        <v>268</v>
      </c>
      <c r="T16" t="s">
        <v>238</v>
      </c>
      <c r="U16" s="12">
        <v>12</v>
      </c>
      <c r="V16" s="12">
        <v>12</v>
      </c>
      <c r="X16" t="s">
        <v>234</v>
      </c>
      <c r="Y16" t="str" cm="1">
        <f t="array" ref="Y16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Oberboden</v>
      </c>
      <c r="Z16" s="11" t="str">
        <f>IF(Erkundungsstelle.Sample.Table[[#This Row],[PECH]]="JA","auffällig",IF(Erkundungsstelle.Sample.Table[[#This Row],[ART]]&lt;&gt;"","neutral",""))</f>
        <v>neutral</v>
      </c>
      <c r="AA16" s="12">
        <v>12</v>
      </c>
      <c r="AB16" s="12" t="s">
        <v>562</v>
      </c>
      <c r="AC16" s="12" t="s">
        <v>562</v>
      </c>
      <c r="AD16" t="s">
        <v>193</v>
      </c>
      <c r="AE16" s="12" t="s">
        <v>562</v>
      </c>
    </row>
    <row r="17" spans="1:31" x14ac:dyDescent="0.25">
      <c r="A17" t="str">
        <f t="shared" si="2"/>
        <v>SE16</v>
      </c>
      <c r="B17" t="s">
        <v>514</v>
      </c>
      <c r="C17" s="10" t="s">
        <v>526</v>
      </c>
      <c r="F17" t="str">
        <f t="shared" si="1"/>
        <v>LAYER</v>
      </c>
      <c r="G17">
        <v>2</v>
      </c>
      <c r="H17" t="s">
        <v>264</v>
      </c>
      <c r="I17" t="s">
        <v>537</v>
      </c>
      <c r="J17" s="25"/>
      <c r="L17">
        <v>2</v>
      </c>
      <c r="M17">
        <f ca="1">Erkundungsstelle.Sample.Table[[#This Row],[TIEFE_ENDE]]-Erkundungsstelle.Sample.Table[[#This Row],[DICKE]]</f>
        <v>4</v>
      </c>
      <c r="N17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6</v>
      </c>
      <c r="R17" s="11"/>
      <c r="U17" s="12"/>
      <c r="Y17" t="str" cm="1">
        <f t="array" ref="Y17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Oberboden</v>
      </c>
      <c r="Z17" s="11" t="str">
        <f>IF(Erkundungsstelle.Sample.Table[[#This Row],[PECH]]="JA","auffällig",IF(Erkundungsstelle.Sample.Table[[#This Row],[ART]]&lt;&gt;"","neutral",""))</f>
        <v>neutral</v>
      </c>
    </row>
    <row r="18" spans="1:31" x14ac:dyDescent="0.25">
      <c r="A18" t="str">
        <f t="shared" si="2"/>
        <v>SE17</v>
      </c>
      <c r="B18" t="s">
        <v>514</v>
      </c>
      <c r="C18" s="10" t="s">
        <v>529</v>
      </c>
      <c r="F18" t="str">
        <f t="shared" si="1"/>
        <v>LAYER</v>
      </c>
      <c r="G18">
        <v>3</v>
      </c>
      <c r="H18" t="s">
        <v>264</v>
      </c>
      <c r="I18" t="s">
        <v>537</v>
      </c>
      <c r="J18" s="25"/>
      <c r="L18">
        <v>10</v>
      </c>
      <c r="M18">
        <f ca="1">Erkundungsstelle.Sample.Table[[#This Row],[TIEFE_ENDE]]-Erkundungsstelle.Sample.Table[[#This Row],[DICKE]]</f>
        <v>6</v>
      </c>
      <c r="N18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16</v>
      </c>
      <c r="R18" s="11"/>
      <c r="U18" s="12"/>
      <c r="Y18" t="str" cm="1">
        <f t="array" ref="Y18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Oberboden</v>
      </c>
      <c r="Z18" s="11" t="str">
        <f>IF(Erkundungsstelle.Sample.Table[[#This Row],[PECH]]="JA","auffällig",IF(Erkundungsstelle.Sample.Table[[#This Row],[ART]]&lt;&gt;"","neutral",""))</f>
        <v>neutral</v>
      </c>
    </row>
    <row r="19" spans="1:31" x14ac:dyDescent="0.25">
      <c r="A19" t="str">
        <f t="shared" si="2"/>
        <v>SE18</v>
      </c>
      <c r="B19" t="s">
        <v>514</v>
      </c>
      <c r="C19" s="10"/>
      <c r="F19" t="str">
        <f t="shared" si="1"/>
        <v>LAYER</v>
      </c>
      <c r="G19">
        <v>4</v>
      </c>
      <c r="H19" t="s">
        <v>192</v>
      </c>
      <c r="I19" t="s">
        <v>538</v>
      </c>
      <c r="J19" s="25"/>
      <c r="L19">
        <v>5</v>
      </c>
      <c r="M19">
        <f ca="1">Erkundungsstelle.Sample.Table[[#This Row],[TIEFE_ENDE]]-Erkundungsstelle.Sample.Table[[#This Row],[DICKE]]</f>
        <v>16</v>
      </c>
      <c r="N19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21</v>
      </c>
      <c r="R19" s="11"/>
      <c r="U19" s="12"/>
      <c r="Y19" t="str" cm="1">
        <f t="array" ref="Y19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Testschicht kein Pech</v>
      </c>
      <c r="Z19" s="11" t="str">
        <f>IF(Erkundungsstelle.Sample.Table[[#This Row],[PECH]]="JA","auffällig",IF(Erkundungsstelle.Sample.Table[[#This Row],[ART]]&lt;&gt;"","neutral",""))</f>
        <v>neutral</v>
      </c>
    </row>
    <row r="20" spans="1:31" x14ac:dyDescent="0.25">
      <c r="A20" t="str">
        <f t="shared" si="2"/>
        <v>SE19</v>
      </c>
      <c r="B20" t="s">
        <v>514</v>
      </c>
      <c r="C20" s="10"/>
      <c r="F20" t="str">
        <f t="shared" si="1"/>
        <v>LAYER</v>
      </c>
      <c r="G20">
        <v>5</v>
      </c>
      <c r="H20" t="s">
        <v>251</v>
      </c>
      <c r="I20" t="s">
        <v>539</v>
      </c>
      <c r="J20" s="25" t="s">
        <v>540</v>
      </c>
      <c r="L20">
        <v>150</v>
      </c>
      <c r="M20">
        <f ca="1">Erkundungsstelle.Sample.Table[[#This Row],[TIEFE_ENDE]]-Erkundungsstelle.Sample.Table[[#This Row],[DICKE]]</f>
        <v>21</v>
      </c>
      <c r="N20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171</v>
      </c>
      <c r="R20" s="11"/>
      <c r="U20" s="12"/>
      <c r="Y20" t="str" cm="1">
        <f t="array" ref="Y20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Boden</v>
      </c>
      <c r="Z20" s="11" t="str">
        <f>IF(Erkundungsstelle.Sample.Table[[#This Row],[PECH]]="JA","auffällig",IF(Erkundungsstelle.Sample.Table[[#This Row],[ART]]&lt;&gt;"","neutral",""))</f>
        <v>neutral</v>
      </c>
    </row>
    <row r="21" spans="1:31" x14ac:dyDescent="0.25">
      <c r="A21" t="str">
        <f t="shared" si="2"/>
        <v>SE20</v>
      </c>
      <c r="B21" t="s">
        <v>515</v>
      </c>
      <c r="C21" s="10" t="s">
        <v>524</v>
      </c>
      <c r="D21" t="s">
        <v>521</v>
      </c>
      <c r="F21" t="str">
        <f t="shared" si="1"/>
        <v>LAYER</v>
      </c>
      <c r="G21">
        <v>1</v>
      </c>
      <c r="H21" t="s">
        <v>301</v>
      </c>
      <c r="I21" t="s">
        <v>530</v>
      </c>
      <c r="J21" s="25"/>
      <c r="L21">
        <v>3</v>
      </c>
      <c r="M21">
        <f ca="1">Erkundungsstelle.Sample.Table[[#This Row],[TIEFE_ENDE]]-Erkundungsstelle.Sample.Table[[#This Row],[DICKE]]</f>
        <v>0</v>
      </c>
      <c r="N21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</v>
      </c>
      <c r="P21" t="s">
        <v>218</v>
      </c>
      <c r="Q21" t="s">
        <v>463</v>
      </c>
      <c r="R21" s="11" t="s">
        <v>219</v>
      </c>
      <c r="S21" t="s">
        <v>277</v>
      </c>
      <c r="T21" t="s">
        <v>256</v>
      </c>
      <c r="U21" s="12">
        <v>13</v>
      </c>
      <c r="V21" s="12">
        <v>13</v>
      </c>
      <c r="X21" t="s">
        <v>276</v>
      </c>
      <c r="Y21" t="str" cm="1">
        <f t="array" ref="Y21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ST*</v>
      </c>
      <c r="Z21" s="11" t="str">
        <f>IF(Erkundungsstelle.Sample.Table[[#This Row],[PECH]]="JA","auffällig",IF(Erkundungsstelle.Sample.Table[[#This Row],[ART]]&lt;&gt;"","neutral",""))</f>
        <v>neutral</v>
      </c>
      <c r="AA21" s="12">
        <v>13</v>
      </c>
      <c r="AB21" s="12" t="s">
        <v>464</v>
      </c>
      <c r="AC21" s="12" t="s">
        <v>464</v>
      </c>
      <c r="AD21" t="s">
        <v>222</v>
      </c>
      <c r="AE21" s="12" t="s">
        <v>464</v>
      </c>
    </row>
    <row r="22" spans="1:31" x14ac:dyDescent="0.25">
      <c r="A22" t="str">
        <f t="shared" si="2"/>
        <v>SE21</v>
      </c>
      <c r="B22" t="s">
        <v>515</v>
      </c>
      <c r="C22" s="10" t="s">
        <v>524</v>
      </c>
      <c r="F22" t="str">
        <f t="shared" si="1"/>
        <v>LAYER</v>
      </c>
      <c r="G22">
        <v>2</v>
      </c>
      <c r="H22" t="s">
        <v>301</v>
      </c>
      <c r="I22" t="s">
        <v>530</v>
      </c>
      <c r="J22" s="25"/>
      <c r="L22">
        <v>1</v>
      </c>
      <c r="M22">
        <f ca="1">Erkundungsstelle.Sample.Table[[#This Row],[TIEFE_ENDE]]-Erkundungsstelle.Sample.Table[[#This Row],[DICKE]]</f>
        <v>3</v>
      </c>
      <c r="N22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4</v>
      </c>
      <c r="P22" t="s">
        <v>235</v>
      </c>
      <c r="Q22" t="s">
        <v>448</v>
      </c>
      <c r="R22" s="11" t="s">
        <v>236</v>
      </c>
      <c r="S22" t="s">
        <v>284</v>
      </c>
      <c r="T22" t="s">
        <v>269</v>
      </c>
      <c r="U22" s="12">
        <v>14</v>
      </c>
      <c r="V22" s="12">
        <v>14</v>
      </c>
      <c r="Y22" t="str" cm="1">
        <f t="array" ref="Y22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ST*</v>
      </c>
      <c r="Z22" s="11" t="str">
        <f>IF(Erkundungsstelle.Sample.Table[[#This Row],[PECH]]="JA","auffällig",IF(Erkundungsstelle.Sample.Table[[#This Row],[ART]]&lt;&gt;"","neutral",""))</f>
        <v>neutral</v>
      </c>
      <c r="AA22" s="12">
        <v>14</v>
      </c>
      <c r="AB22" s="12" t="s">
        <v>465</v>
      </c>
      <c r="AC22" s="12" t="s">
        <v>465</v>
      </c>
      <c r="AD22" t="s">
        <v>193</v>
      </c>
      <c r="AE22" s="12" t="s">
        <v>465</v>
      </c>
    </row>
    <row r="23" spans="1:31" x14ac:dyDescent="0.25">
      <c r="A23" t="str">
        <f t="shared" si="2"/>
        <v>SE22</v>
      </c>
      <c r="B23" t="s">
        <v>515</v>
      </c>
      <c r="C23" s="10" t="s">
        <v>526</v>
      </c>
      <c r="F23" t="str">
        <f t="shared" si="1"/>
        <v>LAYER</v>
      </c>
      <c r="G23">
        <v>3</v>
      </c>
      <c r="H23" t="s">
        <v>294</v>
      </c>
      <c r="I23" t="s">
        <v>541</v>
      </c>
      <c r="J23" s="25"/>
      <c r="L23">
        <v>12</v>
      </c>
      <c r="M23">
        <f ca="1">Erkundungsstelle.Sample.Table[[#This Row],[TIEFE_ENDE]]-Erkundungsstelle.Sample.Table[[#This Row],[DICKE]]</f>
        <v>4</v>
      </c>
      <c r="N23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16</v>
      </c>
      <c r="R23" s="11"/>
      <c r="U23" s="12"/>
      <c r="Y23" t="str" cm="1">
        <f t="array" ref="Y23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TestSchicht Beton</v>
      </c>
      <c r="Z23" s="11" t="str">
        <f>IF(Erkundungsstelle.Sample.Table[[#This Row],[PECH]]="JA","auffällig",IF(Erkundungsstelle.Sample.Table[[#This Row],[ART]]&lt;&gt;"","neutral",""))</f>
        <v>neutral</v>
      </c>
    </row>
    <row r="24" spans="1:31" x14ac:dyDescent="0.25">
      <c r="A24" t="str">
        <f t="shared" si="2"/>
        <v>SE23</v>
      </c>
      <c r="B24" t="s">
        <v>516</v>
      </c>
      <c r="C24" s="10"/>
      <c r="F24" t="str">
        <f t="shared" si="1"/>
        <v>LAYER</v>
      </c>
      <c r="G24">
        <v>1</v>
      </c>
      <c r="H24" t="s">
        <v>264</v>
      </c>
      <c r="I24" t="s">
        <v>542</v>
      </c>
      <c r="J24" s="25"/>
      <c r="L24">
        <v>15</v>
      </c>
      <c r="M24">
        <f ca="1">Erkundungsstelle.Sample.Table[[#This Row],[TIEFE_ENDE]]-Erkundungsstelle.Sample.Table[[#This Row],[DICKE]]</f>
        <v>0</v>
      </c>
      <c r="N24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15</v>
      </c>
      <c r="R24" s="11"/>
      <c r="U24" s="12"/>
      <c r="Y24" t="str" cm="1">
        <f t="array" ref="Y24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Oberboden</v>
      </c>
      <c r="Z24" s="11" t="str">
        <f>IF(Erkundungsstelle.Sample.Table[[#This Row],[PECH]]="JA","auffällig",IF(Erkundungsstelle.Sample.Table[[#This Row],[ART]]&lt;&gt;"","neutral",""))</f>
        <v>neutral</v>
      </c>
    </row>
    <row r="25" spans="1:31" x14ac:dyDescent="0.25">
      <c r="A25" t="str">
        <f t="shared" si="2"/>
        <v>SE24</v>
      </c>
      <c r="B25" t="s">
        <v>516</v>
      </c>
      <c r="C25" s="10" t="s">
        <v>3</v>
      </c>
      <c r="E25" t="s">
        <v>543</v>
      </c>
      <c r="F25" t="str">
        <f t="shared" si="1"/>
        <v>LAYER</v>
      </c>
      <c r="G25">
        <v>2</v>
      </c>
      <c r="H25" t="s">
        <v>283</v>
      </c>
      <c r="I25" t="s">
        <v>525</v>
      </c>
      <c r="J25" s="25"/>
      <c r="L25">
        <v>17</v>
      </c>
      <c r="M25">
        <f ca="1">Erkundungsstelle.Sample.Table[[#This Row],[TIEFE_ENDE]]-Erkundungsstelle.Sample.Table[[#This Row],[DICKE]]</f>
        <v>15</v>
      </c>
      <c r="N25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32</v>
      </c>
      <c r="P25" t="s">
        <v>253</v>
      </c>
      <c r="Q25" t="s">
        <v>551</v>
      </c>
      <c r="R25" s="11" t="s">
        <v>254</v>
      </c>
      <c r="S25" t="s">
        <v>290</v>
      </c>
      <c r="T25" t="s">
        <v>278</v>
      </c>
      <c r="U25" s="12">
        <v>15</v>
      </c>
      <c r="V25" s="12">
        <v>15</v>
      </c>
      <c r="Y25" t="str" cm="1">
        <f t="array" ref="Y25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(LS)</v>
      </c>
      <c r="Z25" s="11" t="str">
        <f>IF(Erkundungsstelle.Sample.Table[[#This Row],[PECH]]="JA","auffällig",IF(Erkundungsstelle.Sample.Table[[#This Row],[ART]]&lt;&gt;"","neutral",""))</f>
        <v>neutral</v>
      </c>
      <c r="AA25" s="12">
        <v>15</v>
      </c>
      <c r="AB25" s="12" t="s">
        <v>562</v>
      </c>
      <c r="AC25" s="12" t="s">
        <v>562</v>
      </c>
      <c r="AD25" t="s">
        <v>222</v>
      </c>
      <c r="AE25" s="12" t="s">
        <v>562</v>
      </c>
    </row>
    <row r="26" spans="1:31" x14ac:dyDescent="0.25">
      <c r="A26" t="str">
        <f t="shared" si="2"/>
        <v>SE25</v>
      </c>
      <c r="B26" t="s">
        <v>517</v>
      </c>
      <c r="C26" s="10" t="s">
        <v>524</v>
      </c>
      <c r="D26" t="s">
        <v>739</v>
      </c>
      <c r="F26" t="str">
        <f t="shared" si="1"/>
        <v>LAYER</v>
      </c>
      <c r="G26">
        <v>1</v>
      </c>
      <c r="H26" t="s">
        <v>283</v>
      </c>
      <c r="I26" t="s">
        <v>527</v>
      </c>
      <c r="J26" s="25"/>
      <c r="L26">
        <v>3</v>
      </c>
      <c r="M26">
        <f ca="1">Erkundungsstelle.Sample.Table[[#This Row],[TIEFE_ENDE]]-Erkundungsstelle.Sample.Table[[#This Row],[DICKE]]</f>
        <v>0</v>
      </c>
      <c r="N26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</v>
      </c>
      <c r="P26" t="s">
        <v>266</v>
      </c>
      <c r="Q26" t="s">
        <v>552</v>
      </c>
      <c r="R26" s="11" t="s">
        <v>267</v>
      </c>
      <c r="S26" t="s">
        <v>295</v>
      </c>
      <c r="T26" t="s">
        <v>221</v>
      </c>
      <c r="U26" s="12">
        <v>16</v>
      </c>
      <c r="V26" s="12">
        <v>16</v>
      </c>
      <c r="Y26" t="str" cm="1">
        <f t="array" ref="Y26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(NS)</v>
      </c>
      <c r="Z26" s="11" t="str">
        <f>IF(Erkundungsstelle.Sample.Table[[#This Row],[PECH]]="JA","auffällig",IF(Erkundungsstelle.Sample.Table[[#This Row],[ART]]&lt;&gt;"","neutral",""))</f>
        <v>neutral</v>
      </c>
      <c r="AA26" s="12">
        <v>16</v>
      </c>
      <c r="AB26" s="12" t="s">
        <v>464</v>
      </c>
      <c r="AC26" s="12" t="s">
        <v>464</v>
      </c>
      <c r="AD26" t="s">
        <v>193</v>
      </c>
      <c r="AE26" s="12" t="s">
        <v>464</v>
      </c>
    </row>
    <row r="27" spans="1:31" x14ac:dyDescent="0.25">
      <c r="A27" t="str">
        <f t="shared" si="2"/>
        <v>SE26</v>
      </c>
      <c r="B27" t="s">
        <v>517</v>
      </c>
      <c r="C27" s="10" t="s">
        <v>524</v>
      </c>
      <c r="F27" t="str">
        <f t="shared" si="1"/>
        <v>LAYER</v>
      </c>
      <c r="G27">
        <v>2</v>
      </c>
      <c r="H27" t="s">
        <v>283</v>
      </c>
      <c r="I27" t="s">
        <v>544</v>
      </c>
      <c r="J27" s="25"/>
      <c r="L27">
        <v>1</v>
      </c>
      <c r="M27">
        <f ca="1">Erkundungsstelle.Sample.Table[[#This Row],[TIEFE_ENDE]]-Erkundungsstelle.Sample.Table[[#This Row],[DICKE]]</f>
        <v>3</v>
      </c>
      <c r="N27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4</v>
      </c>
      <c r="P27" t="s">
        <v>218</v>
      </c>
      <c r="Q27" t="s">
        <v>463</v>
      </c>
      <c r="R27" s="11" t="s">
        <v>219</v>
      </c>
      <c r="S27" t="s">
        <v>220</v>
      </c>
      <c r="T27" t="s">
        <v>238</v>
      </c>
      <c r="U27" s="12">
        <v>17</v>
      </c>
      <c r="V27" s="12">
        <v>17</v>
      </c>
      <c r="Y27" t="str" cm="1">
        <f t="array" ref="Y27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(CD)</v>
      </c>
      <c r="Z27" s="11" t="str">
        <f>IF(Erkundungsstelle.Sample.Table[[#This Row],[PECH]]="JA","auffällig",IF(Erkundungsstelle.Sample.Table[[#This Row],[ART]]&lt;&gt;"","neutral",""))</f>
        <v>neutral</v>
      </c>
      <c r="AA27" s="12">
        <v>17</v>
      </c>
      <c r="AB27" s="12" t="s">
        <v>465</v>
      </c>
      <c r="AC27" s="12" t="s">
        <v>465</v>
      </c>
      <c r="AD27" t="s">
        <v>222</v>
      </c>
      <c r="AE27" s="12" t="s">
        <v>465</v>
      </c>
    </row>
    <row r="28" spans="1:31" x14ac:dyDescent="0.25">
      <c r="A28" t="str">
        <f t="shared" si="2"/>
        <v>SE27</v>
      </c>
      <c r="B28" t="s">
        <v>517</v>
      </c>
      <c r="C28" s="10" t="s">
        <v>3</v>
      </c>
      <c r="F28" t="str">
        <f t="shared" si="1"/>
        <v>LAYER</v>
      </c>
      <c r="G28">
        <v>3</v>
      </c>
      <c r="H28" t="s">
        <v>283</v>
      </c>
      <c r="I28" t="s">
        <v>545</v>
      </c>
      <c r="J28" s="25"/>
      <c r="L28">
        <v>7</v>
      </c>
      <c r="M28">
        <f ca="1">Erkundungsstelle.Sample.Table[[#This Row],[TIEFE_ENDE]]-Erkundungsstelle.Sample.Table[[#This Row],[DICKE]]</f>
        <v>4</v>
      </c>
      <c r="N28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11</v>
      </c>
      <c r="P28" t="s">
        <v>235</v>
      </c>
      <c r="Q28" t="s">
        <v>448</v>
      </c>
      <c r="R28" s="11" t="s">
        <v>236</v>
      </c>
      <c r="S28" t="s">
        <v>237</v>
      </c>
      <c r="T28" t="s">
        <v>256</v>
      </c>
      <c r="U28" s="12">
        <v>18</v>
      </c>
      <c r="V28" s="12">
        <v>18</v>
      </c>
      <c r="Y28" t="str" cm="1">
        <f t="array" ref="Y28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(XD)</v>
      </c>
      <c r="Z28" s="11" t="str">
        <f>IF(Erkundungsstelle.Sample.Table[[#This Row],[PECH]]="JA","auffällig",IF(Erkundungsstelle.Sample.Table[[#This Row],[ART]]&lt;&gt;"","neutral",""))</f>
        <v>neutral</v>
      </c>
      <c r="AA28" s="12">
        <v>18</v>
      </c>
      <c r="AB28" s="12" t="s">
        <v>562</v>
      </c>
      <c r="AC28" s="12" t="s">
        <v>562</v>
      </c>
      <c r="AD28" t="s">
        <v>193</v>
      </c>
      <c r="AE28" s="12" t="s">
        <v>562</v>
      </c>
    </row>
    <row r="29" spans="1:31" x14ac:dyDescent="0.25">
      <c r="A29" t="str">
        <f t="shared" si="2"/>
        <v>SE28</v>
      </c>
      <c r="B29" t="s">
        <v>520</v>
      </c>
      <c r="C29" s="10" t="s">
        <v>347</v>
      </c>
      <c r="F29" t="str">
        <f t="shared" si="1"/>
        <v>LAYER</v>
      </c>
      <c r="G29">
        <v>1</v>
      </c>
      <c r="H29" t="s">
        <v>192</v>
      </c>
      <c r="I29">
        <v>1</v>
      </c>
      <c r="J29" s="25"/>
      <c r="L29">
        <v>1</v>
      </c>
      <c r="M29">
        <f ca="1">Erkundungsstelle.Sample.Table[[#This Row],[TIEFE_ENDE]]-Erkundungsstelle.Sample.Table[[#This Row],[DICKE]]</f>
        <v>0</v>
      </c>
      <c r="N29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</v>
      </c>
      <c r="O29" t="s">
        <v>222</v>
      </c>
      <c r="R29" s="11"/>
      <c r="U29" s="12"/>
      <c r="Y29" cm="1">
        <f t="array" ref="Y29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1</v>
      </c>
      <c r="Z29" s="11" t="str">
        <f>IF(Erkundungsstelle.Sample.Table[[#This Row],[PECH]]="JA","auffällig",IF(Erkundungsstelle.Sample.Table[[#This Row],[ART]]&lt;&gt;"","neutral",""))</f>
        <v>auffällig</v>
      </c>
    </row>
    <row r="30" spans="1:31" x14ac:dyDescent="0.25">
      <c r="A30" t="str">
        <f t="shared" si="2"/>
        <v>SE29</v>
      </c>
      <c r="B30" t="s">
        <v>520</v>
      </c>
      <c r="C30" s="10" t="s">
        <v>347</v>
      </c>
      <c r="E30" t="s">
        <v>546</v>
      </c>
      <c r="F30" t="str">
        <f t="shared" si="1"/>
        <v>LAYER</v>
      </c>
      <c r="G30">
        <v>2</v>
      </c>
      <c r="H30" t="s">
        <v>233</v>
      </c>
      <c r="I30">
        <v>2</v>
      </c>
      <c r="J30" s="25"/>
      <c r="L30">
        <v>2</v>
      </c>
      <c r="M30">
        <f ca="1">Erkundungsstelle.Sample.Table[[#This Row],[TIEFE_ENDE]]-Erkundungsstelle.Sample.Table[[#This Row],[DICKE]]</f>
        <v>1</v>
      </c>
      <c r="N30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</v>
      </c>
      <c r="R30" s="11"/>
      <c r="U30" s="12"/>
      <c r="Y30" cm="1">
        <f t="array" ref="Y30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2</v>
      </c>
      <c r="Z30" s="11" t="str">
        <f>IF(Erkundungsstelle.Sample.Table[[#This Row],[PECH]]="JA","auffällig",IF(Erkundungsstelle.Sample.Table[[#This Row],[ART]]&lt;&gt;"","neutral",""))</f>
        <v>neutral</v>
      </c>
    </row>
    <row r="31" spans="1:31" x14ac:dyDescent="0.25">
      <c r="A31" t="str">
        <f t="shared" si="2"/>
        <v>SE30</v>
      </c>
      <c r="B31" t="s">
        <v>520</v>
      </c>
      <c r="C31" s="10" t="s">
        <v>347</v>
      </c>
      <c r="D31" t="s">
        <v>740</v>
      </c>
      <c r="F31" t="str">
        <f t="shared" si="1"/>
        <v>LAYER</v>
      </c>
      <c r="G31">
        <v>3</v>
      </c>
      <c r="H31" t="s">
        <v>251</v>
      </c>
      <c r="I31">
        <v>3</v>
      </c>
      <c r="J31" s="25"/>
      <c r="L31">
        <v>3</v>
      </c>
      <c r="M31">
        <f ca="1">Erkundungsstelle.Sample.Table[[#This Row],[TIEFE_ENDE]]-Erkundungsstelle.Sample.Table[[#This Row],[DICKE]]</f>
        <v>3</v>
      </c>
      <c r="N31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6</v>
      </c>
      <c r="R31" s="11"/>
      <c r="U31" s="12"/>
      <c r="Y31" t="str" cm="1">
        <f t="array" ref="Y31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Boden</v>
      </c>
      <c r="Z31" s="11" t="str">
        <f>IF(Erkundungsstelle.Sample.Table[[#This Row],[PECH]]="JA","auffällig",IF(Erkundungsstelle.Sample.Table[[#This Row],[ART]]&lt;&gt;"","neutral",""))</f>
        <v>neutral</v>
      </c>
    </row>
    <row r="32" spans="1:31" x14ac:dyDescent="0.25">
      <c r="A32" t="str">
        <f t="shared" si="2"/>
        <v>SE31</v>
      </c>
      <c r="B32" t="s">
        <v>520</v>
      </c>
      <c r="C32" s="10" t="s">
        <v>347</v>
      </c>
      <c r="F32" t="str">
        <f t="shared" si="1"/>
        <v>LAYER</v>
      </c>
      <c r="G32">
        <v>4</v>
      </c>
      <c r="H32" t="s">
        <v>264</v>
      </c>
      <c r="I32">
        <v>4</v>
      </c>
      <c r="J32" s="25"/>
      <c r="L32">
        <v>4</v>
      </c>
      <c r="M32">
        <f ca="1">Erkundungsstelle.Sample.Table[[#This Row],[TIEFE_ENDE]]-Erkundungsstelle.Sample.Table[[#This Row],[DICKE]]</f>
        <v>6</v>
      </c>
      <c r="N32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10</v>
      </c>
      <c r="R32" s="11"/>
      <c r="U32" s="12"/>
      <c r="Y32" cm="1">
        <f t="array" ref="Y32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4</v>
      </c>
      <c r="Z32" s="11" t="str">
        <f>IF(Erkundungsstelle.Sample.Table[[#This Row],[PECH]]="JA","auffällig",IF(Erkundungsstelle.Sample.Table[[#This Row],[ART]]&lt;&gt;"","neutral",""))</f>
        <v>neutral</v>
      </c>
    </row>
    <row r="33" spans="1:31" x14ac:dyDescent="0.25">
      <c r="A33" t="str">
        <f t="shared" si="2"/>
        <v>SE32</v>
      </c>
      <c r="B33" t="s">
        <v>520</v>
      </c>
      <c r="C33" s="10" t="s">
        <v>347</v>
      </c>
      <c r="F33" t="str">
        <f t="shared" si="1"/>
        <v>LAYER</v>
      </c>
      <c r="G33">
        <v>5</v>
      </c>
      <c r="H33" t="s">
        <v>275</v>
      </c>
      <c r="I33">
        <v>5</v>
      </c>
      <c r="J33" s="25"/>
      <c r="L33">
        <v>5</v>
      </c>
      <c r="M33">
        <f ca="1">Erkundungsstelle.Sample.Table[[#This Row],[TIEFE_ENDE]]-Erkundungsstelle.Sample.Table[[#This Row],[DICKE]]</f>
        <v>10</v>
      </c>
      <c r="N33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15</v>
      </c>
      <c r="O33" t="s">
        <v>222</v>
      </c>
      <c r="R33" s="11"/>
      <c r="U33" s="12"/>
      <c r="Y33" cm="1">
        <f t="array" ref="Y33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5</v>
      </c>
      <c r="Z33" s="11" t="str">
        <f>IF(Erkundungsstelle.Sample.Table[[#This Row],[PECH]]="JA","auffällig",IF(Erkundungsstelle.Sample.Table[[#This Row],[ART]]&lt;&gt;"","neutral",""))</f>
        <v>auffällig</v>
      </c>
    </row>
    <row r="34" spans="1:31" x14ac:dyDescent="0.25">
      <c r="A34" t="str">
        <f t="shared" si="2"/>
        <v>SE33</v>
      </c>
      <c r="B34" t="s">
        <v>520</v>
      </c>
      <c r="C34" s="10" t="s">
        <v>347</v>
      </c>
      <c r="F34" t="str">
        <f t="shared" si="1"/>
        <v>LAYER</v>
      </c>
      <c r="G34">
        <v>6</v>
      </c>
      <c r="H34" t="s">
        <v>283</v>
      </c>
      <c r="I34">
        <v>6</v>
      </c>
      <c r="J34" s="25"/>
      <c r="L34">
        <v>6</v>
      </c>
      <c r="M34">
        <f ca="1">Erkundungsstelle.Sample.Table[[#This Row],[TIEFE_ENDE]]-Erkundungsstelle.Sample.Table[[#This Row],[DICKE]]</f>
        <v>15</v>
      </c>
      <c r="N34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21</v>
      </c>
      <c r="O34" t="s">
        <v>222</v>
      </c>
      <c r="R34" s="11"/>
      <c r="U34" s="12"/>
      <c r="Y34" cm="1">
        <f t="array" ref="Y34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6</v>
      </c>
      <c r="Z34" s="11" t="str">
        <f>IF(Erkundungsstelle.Sample.Table[[#This Row],[PECH]]="JA","auffällig",IF(Erkundungsstelle.Sample.Table[[#This Row],[ART]]&lt;&gt;"","neutral",""))</f>
        <v>auffällig</v>
      </c>
    </row>
    <row r="35" spans="1:31" x14ac:dyDescent="0.25">
      <c r="A35" t="str">
        <f t="shared" si="2"/>
        <v>SE34</v>
      </c>
      <c r="B35" t="s">
        <v>520</v>
      </c>
      <c r="C35" s="10" t="s">
        <v>347</v>
      </c>
      <c r="F35" t="str">
        <f t="shared" si="1"/>
        <v>LAYER</v>
      </c>
      <c r="G35">
        <v>7</v>
      </c>
      <c r="H35" t="s">
        <v>289</v>
      </c>
      <c r="I35">
        <v>7</v>
      </c>
      <c r="J35" s="25"/>
      <c r="L35">
        <v>7</v>
      </c>
      <c r="M35">
        <f ca="1">Erkundungsstelle.Sample.Table[[#This Row],[TIEFE_ENDE]]-Erkundungsstelle.Sample.Table[[#This Row],[DICKE]]</f>
        <v>21</v>
      </c>
      <c r="N35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28</v>
      </c>
      <c r="O35" t="s">
        <v>222</v>
      </c>
      <c r="R35" s="11"/>
      <c r="U35" s="12"/>
      <c r="Y35" cm="1">
        <f t="array" ref="Y35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7</v>
      </c>
      <c r="Z35" s="11" t="str">
        <f>IF(Erkundungsstelle.Sample.Table[[#This Row],[PECH]]="JA","auffällig",IF(Erkundungsstelle.Sample.Table[[#This Row],[ART]]&lt;&gt;"","neutral",""))</f>
        <v>auffällig</v>
      </c>
    </row>
    <row r="36" spans="1:31" x14ac:dyDescent="0.25">
      <c r="A36" t="str">
        <f t="shared" si="2"/>
        <v>SE35</v>
      </c>
      <c r="B36" t="s">
        <v>520</v>
      </c>
      <c r="C36" s="10" t="s">
        <v>347</v>
      </c>
      <c r="F36" t="str">
        <f t="shared" si="1"/>
        <v>LAYER</v>
      </c>
      <c r="G36">
        <v>8</v>
      </c>
      <c r="H36" t="s">
        <v>294</v>
      </c>
      <c r="I36">
        <v>8</v>
      </c>
      <c r="J36" s="25"/>
      <c r="L36">
        <v>8</v>
      </c>
      <c r="M36">
        <f ca="1">Erkundungsstelle.Sample.Table[[#This Row],[TIEFE_ENDE]]-Erkundungsstelle.Sample.Table[[#This Row],[DICKE]]</f>
        <v>28</v>
      </c>
      <c r="N36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36</v>
      </c>
      <c r="O36" t="s">
        <v>222</v>
      </c>
      <c r="R36" s="11"/>
      <c r="U36" s="12"/>
      <c r="Y36" cm="1">
        <f t="array" ref="Y36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8</v>
      </c>
      <c r="Z36" s="11" t="str">
        <f>IF(Erkundungsstelle.Sample.Table[[#This Row],[PECH]]="JA","auffällig",IF(Erkundungsstelle.Sample.Table[[#This Row],[ART]]&lt;&gt;"","neutral",""))</f>
        <v>auffällig</v>
      </c>
    </row>
    <row r="37" spans="1:31" x14ac:dyDescent="0.25">
      <c r="A37" t="str">
        <f t="shared" si="2"/>
        <v>SE36</v>
      </c>
      <c r="B37" t="s">
        <v>520</v>
      </c>
      <c r="C37" s="10" t="s">
        <v>347</v>
      </c>
      <c r="F37" t="str">
        <f t="shared" si="1"/>
        <v>LAYER</v>
      </c>
      <c r="G37">
        <v>9</v>
      </c>
      <c r="H37" t="s">
        <v>298</v>
      </c>
      <c r="I37">
        <v>9</v>
      </c>
      <c r="J37" s="25"/>
      <c r="L37">
        <v>9</v>
      </c>
      <c r="M37">
        <f ca="1">Erkundungsstelle.Sample.Table[[#This Row],[TIEFE_ENDE]]-Erkundungsstelle.Sample.Table[[#This Row],[DICKE]]</f>
        <v>36</v>
      </c>
      <c r="N37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45</v>
      </c>
      <c r="O37" t="s">
        <v>222</v>
      </c>
      <c r="R37" s="11"/>
      <c r="U37" s="12"/>
      <c r="Y37" cm="1">
        <f t="array" ref="Y37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9</v>
      </c>
      <c r="Z37" s="11" t="str">
        <f>IF(Erkundungsstelle.Sample.Table[[#This Row],[PECH]]="JA","auffällig",IF(Erkundungsstelle.Sample.Table[[#This Row],[ART]]&lt;&gt;"","neutral",""))</f>
        <v>auffällig</v>
      </c>
    </row>
    <row r="38" spans="1:31" x14ac:dyDescent="0.25">
      <c r="A38" t="str">
        <f t="shared" si="2"/>
        <v>SE37</v>
      </c>
      <c r="B38" t="s">
        <v>520</v>
      </c>
      <c r="C38" s="10" t="s">
        <v>347</v>
      </c>
      <c r="F38" t="str">
        <f t="shared" si="1"/>
        <v>LAYER</v>
      </c>
      <c r="G38">
        <v>10</v>
      </c>
      <c r="H38" t="s">
        <v>301</v>
      </c>
      <c r="I38">
        <v>10</v>
      </c>
      <c r="J38" s="25"/>
      <c r="L38">
        <v>10</v>
      </c>
      <c r="M38">
        <f ca="1">Erkundungsstelle.Sample.Table[[#This Row],[TIEFE_ENDE]]-Erkundungsstelle.Sample.Table[[#This Row],[DICKE]]</f>
        <v>45</v>
      </c>
      <c r="N38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55</v>
      </c>
      <c r="O38" t="s">
        <v>222</v>
      </c>
      <c r="R38" s="11"/>
      <c r="U38" s="12"/>
      <c r="Y38" cm="1">
        <f t="array" ref="Y38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10</v>
      </c>
      <c r="Z38" s="11" t="str">
        <f>IF(Erkundungsstelle.Sample.Table[[#This Row],[PECH]]="JA","auffällig",IF(Erkundungsstelle.Sample.Table[[#This Row],[ART]]&lt;&gt;"","neutral",""))</f>
        <v>auffällig</v>
      </c>
    </row>
    <row r="39" spans="1:31" x14ac:dyDescent="0.25">
      <c r="A39" t="str">
        <f>"SE"&amp;ROW()-1</f>
        <v>SE38</v>
      </c>
      <c r="B39" t="s">
        <v>520</v>
      </c>
      <c r="C39" s="10"/>
      <c r="F39" t="str">
        <f>"LAYER"</f>
        <v>LAYER</v>
      </c>
      <c r="G39">
        <v>11</v>
      </c>
      <c r="H39" t="s">
        <v>301</v>
      </c>
      <c r="I39">
        <v>11</v>
      </c>
      <c r="J39" s="25"/>
      <c r="L39">
        <v>11</v>
      </c>
      <c r="M39">
        <f ca="1">Erkundungsstelle.Sample.Table[[#This Row],[TIEFE_ENDE]]-Erkundungsstelle.Sample.Table[[#This Row],[DICKE]]</f>
        <v>55</v>
      </c>
      <c r="N39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66</v>
      </c>
      <c r="R39" s="11"/>
      <c r="U39" s="12"/>
      <c r="Y39" cm="1">
        <f t="array" ref="Y39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11</v>
      </c>
      <c r="Z39" s="11" t="str">
        <f>IF(Erkundungsstelle.Sample.Table[[#This Row],[PECH]]="JA","auffällig",IF(Erkundungsstelle.Sample.Table[[#This Row],[ART]]&lt;&gt;"","neutral",""))</f>
        <v>neutral</v>
      </c>
    </row>
    <row r="40" spans="1:31" x14ac:dyDescent="0.25">
      <c r="A40" t="str">
        <f>"SE"&amp;ROW()-1</f>
        <v>SE39</v>
      </c>
      <c r="B40" t="s">
        <v>520</v>
      </c>
      <c r="C40" s="10"/>
      <c r="F40" t="str">
        <f>"LAYER"</f>
        <v>LAYER</v>
      </c>
      <c r="G40">
        <v>12</v>
      </c>
      <c r="H40" t="s">
        <v>301</v>
      </c>
      <c r="I40">
        <v>12</v>
      </c>
      <c r="J40" s="25"/>
      <c r="L40">
        <v>12</v>
      </c>
      <c r="M40">
        <f ca="1">Erkundungsstelle.Sample.Table[[#This Row],[TIEFE_ENDE]]-Erkundungsstelle.Sample.Table[[#This Row],[DICKE]]</f>
        <v>66</v>
      </c>
      <c r="N40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78</v>
      </c>
      <c r="R40" s="11"/>
      <c r="U40" s="12"/>
      <c r="Y40" cm="1">
        <f t="array" ref="Y40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12</v>
      </c>
      <c r="Z40" s="11" t="str">
        <f>IF(Erkundungsstelle.Sample.Table[[#This Row],[PECH]]="JA","auffällig",IF(Erkundungsstelle.Sample.Table[[#This Row],[ART]]&lt;&gt;"","neutral",""))</f>
        <v>neutral</v>
      </c>
    </row>
    <row r="41" spans="1:31" x14ac:dyDescent="0.25">
      <c r="A41" t="str">
        <f>"SE"&amp;ROW()-1</f>
        <v>SE40</v>
      </c>
      <c r="B41" t="s">
        <v>520</v>
      </c>
      <c r="C41" s="10"/>
      <c r="F41" t="str">
        <f>"LAYER"</f>
        <v>LAYER</v>
      </c>
      <c r="G41">
        <v>13</v>
      </c>
      <c r="H41" t="s">
        <v>301</v>
      </c>
      <c r="I41">
        <v>13</v>
      </c>
      <c r="J41" s="25"/>
      <c r="L41">
        <v>13</v>
      </c>
      <c r="M41">
        <f ca="1">Erkundungsstelle.Sample.Table[[#This Row],[TIEFE_ENDE]]-Erkundungsstelle.Sample.Table[[#This Row],[DICKE]]</f>
        <v>78</v>
      </c>
      <c r="N41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91</v>
      </c>
      <c r="R41" s="11"/>
      <c r="U41" s="12"/>
      <c r="Y41" cm="1">
        <f t="array" ref="Y41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13</v>
      </c>
      <c r="Z41" s="11" t="str">
        <f>IF(Erkundungsstelle.Sample.Table[[#This Row],[PECH]]="JA","auffällig",IF(Erkundungsstelle.Sample.Table[[#This Row],[ART]]&lt;&gt;"","neutral",""))</f>
        <v>neutral</v>
      </c>
    </row>
    <row r="42" spans="1:31" x14ac:dyDescent="0.25">
      <c r="A42" t="str">
        <f t="shared" si="2"/>
        <v>SE41</v>
      </c>
      <c r="B42" t="s">
        <v>518</v>
      </c>
      <c r="C42" s="10" t="s">
        <v>534</v>
      </c>
      <c r="F42" t="str">
        <f t="shared" si="1"/>
        <v>LAYER</v>
      </c>
      <c r="G42">
        <v>1</v>
      </c>
      <c r="H42" t="s">
        <v>289</v>
      </c>
      <c r="I42" t="s">
        <v>547</v>
      </c>
      <c r="J42" s="25"/>
      <c r="L42">
        <v>13</v>
      </c>
      <c r="M42">
        <f ca="1">Erkundungsstelle.Sample.Table[[#This Row],[TIEFE_ENDE]]-Erkundungsstelle.Sample.Table[[#This Row],[DICKE]]</f>
        <v>0</v>
      </c>
      <c r="N42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13</v>
      </c>
      <c r="R42" s="11"/>
      <c r="U42" s="12"/>
      <c r="Y42" t="str" cm="1">
        <f t="array" ref="Y42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Test Fuge</v>
      </c>
      <c r="Z42" s="11" t="str">
        <f>IF(Erkundungsstelle.Sample.Table[[#This Row],[PECH]]="JA","auffällig",IF(Erkundungsstelle.Sample.Table[[#This Row],[ART]]&lt;&gt;"","neutral",""))</f>
        <v>neutral</v>
      </c>
    </row>
    <row r="43" spans="1:31" x14ac:dyDescent="0.25">
      <c r="A43" t="str">
        <f t="shared" si="2"/>
        <v>SE42</v>
      </c>
      <c r="B43" t="s">
        <v>518</v>
      </c>
      <c r="C43" s="10" t="s">
        <v>347</v>
      </c>
      <c r="E43" t="s">
        <v>548</v>
      </c>
      <c r="F43" t="str">
        <f t="shared" si="1"/>
        <v>LAYER</v>
      </c>
      <c r="G43">
        <v>2</v>
      </c>
      <c r="H43" t="s">
        <v>233</v>
      </c>
      <c r="I43" t="s">
        <v>525</v>
      </c>
      <c r="J43" s="25"/>
      <c r="L43">
        <v>5</v>
      </c>
      <c r="M43">
        <f ca="1">Erkundungsstelle.Sample.Table[[#This Row],[TIEFE_ENDE]]-Erkundungsstelle.Sample.Table[[#This Row],[DICKE]]</f>
        <v>13</v>
      </c>
      <c r="N43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18</v>
      </c>
      <c r="P43" t="s">
        <v>235</v>
      </c>
      <c r="Q43" t="s">
        <v>463</v>
      </c>
      <c r="R43" s="11" t="s">
        <v>219</v>
      </c>
      <c r="S43" t="s">
        <v>277</v>
      </c>
      <c r="T43" t="s">
        <v>256</v>
      </c>
      <c r="U43" s="12" t="s">
        <v>553</v>
      </c>
      <c r="V43" s="12" t="s">
        <v>553</v>
      </c>
      <c r="Y43" t="str" cm="1">
        <f t="array" ref="Y43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(LS)</v>
      </c>
      <c r="Z43" s="11" t="str">
        <f>IF(Erkundungsstelle.Sample.Table[[#This Row],[PECH]]="JA","auffällig",IF(Erkundungsstelle.Sample.Table[[#This Row],[ART]]&lt;&gt;"","neutral",""))</f>
        <v>neutral</v>
      </c>
      <c r="AA43" s="12">
        <v>19</v>
      </c>
      <c r="AB43" s="12" t="s">
        <v>464</v>
      </c>
      <c r="AC43" s="12" t="s">
        <v>464</v>
      </c>
      <c r="AD43" t="s">
        <v>222</v>
      </c>
      <c r="AE43" s="12" t="s">
        <v>464</v>
      </c>
    </row>
    <row r="44" spans="1:31" x14ac:dyDescent="0.25">
      <c r="A44" t="str">
        <f t="shared" si="2"/>
        <v>SE43</v>
      </c>
      <c r="B44" t="s">
        <v>518</v>
      </c>
      <c r="C44" s="10" t="s">
        <v>3</v>
      </c>
      <c r="F44" t="str">
        <f t="shared" si="1"/>
        <v>LAYER</v>
      </c>
      <c r="G44">
        <v>3</v>
      </c>
      <c r="H44" t="s">
        <v>233</v>
      </c>
      <c r="I44" t="s">
        <v>525</v>
      </c>
      <c r="J44" s="25"/>
      <c r="L44">
        <v>6</v>
      </c>
      <c r="M44">
        <f ca="1">Erkundungsstelle.Sample.Table[[#This Row],[TIEFE_ENDE]]-Erkundungsstelle.Sample.Table[[#This Row],[DICKE]]</f>
        <v>18</v>
      </c>
      <c r="N44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24</v>
      </c>
      <c r="P44" t="s">
        <v>235</v>
      </c>
      <c r="Q44" t="s">
        <v>448</v>
      </c>
      <c r="R44" s="11" t="s">
        <v>236</v>
      </c>
      <c r="S44" t="s">
        <v>284</v>
      </c>
      <c r="T44" t="s">
        <v>269</v>
      </c>
      <c r="U44" s="12" t="s">
        <v>554</v>
      </c>
      <c r="V44" s="12" t="s">
        <v>554</v>
      </c>
      <c r="X44" t="s">
        <v>265</v>
      </c>
      <c r="Y44" t="str" cm="1">
        <f t="array" ref="Y44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(LS)</v>
      </c>
      <c r="Z44" s="11" t="str">
        <f>IF(Erkundungsstelle.Sample.Table[[#This Row],[PECH]]="JA","auffällig",IF(Erkundungsstelle.Sample.Table[[#This Row],[ART]]&lt;&gt;"","neutral",""))</f>
        <v>neutral</v>
      </c>
      <c r="AA44" s="12">
        <v>20</v>
      </c>
      <c r="AB44" s="12" t="s">
        <v>465</v>
      </c>
      <c r="AC44" s="12" t="s">
        <v>465</v>
      </c>
      <c r="AD44" t="s">
        <v>193</v>
      </c>
      <c r="AE44" s="12" t="s">
        <v>465</v>
      </c>
    </row>
    <row r="45" spans="1:31" x14ac:dyDescent="0.25">
      <c r="A45" t="str">
        <f t="shared" si="2"/>
        <v>SE44</v>
      </c>
      <c r="B45" t="s">
        <v>518</v>
      </c>
      <c r="C45" s="10" t="s">
        <v>524</v>
      </c>
      <c r="F45" t="str">
        <f t="shared" si="1"/>
        <v>LAYER</v>
      </c>
      <c r="G45">
        <v>4</v>
      </c>
      <c r="H45" t="s">
        <v>233</v>
      </c>
      <c r="I45" t="s">
        <v>525</v>
      </c>
      <c r="J45" s="25"/>
      <c r="L45">
        <v>8</v>
      </c>
      <c r="M45">
        <f ca="1">Erkundungsstelle.Sample.Table[[#This Row],[TIEFE_ENDE]]-Erkundungsstelle.Sample.Table[[#This Row],[DICKE]]</f>
        <v>24</v>
      </c>
      <c r="N45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32</v>
      </c>
      <c r="P45" t="s">
        <v>253</v>
      </c>
      <c r="Q45" t="s">
        <v>551</v>
      </c>
      <c r="R45" s="11" t="s">
        <v>254</v>
      </c>
      <c r="S45" t="s">
        <v>290</v>
      </c>
      <c r="T45" t="s">
        <v>278</v>
      </c>
      <c r="U45" s="12" t="s">
        <v>555</v>
      </c>
      <c r="V45" s="12" t="s">
        <v>555</v>
      </c>
      <c r="X45" t="s">
        <v>276</v>
      </c>
      <c r="Y45" t="str" cm="1">
        <f t="array" ref="Y45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(LS)</v>
      </c>
      <c r="Z45" s="11" t="str">
        <f>IF(Erkundungsstelle.Sample.Table[[#This Row],[PECH]]="JA","auffällig",IF(Erkundungsstelle.Sample.Table[[#This Row],[ART]]&lt;&gt;"","neutral",""))</f>
        <v>neutral</v>
      </c>
      <c r="AA45" s="12">
        <v>21</v>
      </c>
      <c r="AB45" s="12" t="s">
        <v>562</v>
      </c>
      <c r="AC45" s="12" t="s">
        <v>562</v>
      </c>
      <c r="AD45" t="s">
        <v>222</v>
      </c>
      <c r="AE45" s="12" t="s">
        <v>562</v>
      </c>
    </row>
    <row r="46" spans="1:31" x14ac:dyDescent="0.25">
      <c r="A46" t="str">
        <f t="shared" si="2"/>
        <v>SE45</v>
      </c>
      <c r="B46" t="s">
        <v>518</v>
      </c>
      <c r="C46" s="10" t="s">
        <v>526</v>
      </c>
      <c r="D46" t="s">
        <v>741</v>
      </c>
      <c r="F46" t="str">
        <f t="shared" si="1"/>
        <v>LAYER</v>
      </c>
      <c r="G46">
        <v>5</v>
      </c>
      <c r="H46" t="s">
        <v>233</v>
      </c>
      <c r="I46" t="s">
        <v>545</v>
      </c>
      <c r="J46" s="25"/>
      <c r="L46">
        <v>7</v>
      </c>
      <c r="M46">
        <f ca="1">Erkundungsstelle.Sample.Table[[#This Row],[TIEFE_ENDE]]-Erkundungsstelle.Sample.Table[[#This Row],[DICKE]]</f>
        <v>32</v>
      </c>
      <c r="N46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39</v>
      </c>
      <c r="P46" t="s">
        <v>266</v>
      </c>
      <c r="Q46" t="s">
        <v>552</v>
      </c>
      <c r="R46" s="11" t="s">
        <v>267</v>
      </c>
      <c r="S46" t="s">
        <v>295</v>
      </c>
      <c r="T46" t="s">
        <v>221</v>
      </c>
      <c r="U46" s="12" t="s">
        <v>556</v>
      </c>
      <c r="V46" s="12" t="s">
        <v>556</v>
      </c>
      <c r="X46" t="s">
        <v>252</v>
      </c>
      <c r="Y46" t="str" cm="1">
        <f t="array" ref="Y46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(XD)</v>
      </c>
      <c r="Z46" s="11" t="str">
        <f>IF(Erkundungsstelle.Sample.Table[[#This Row],[PECH]]="JA","auffällig",IF(Erkundungsstelle.Sample.Table[[#This Row],[ART]]&lt;&gt;"","neutral",""))</f>
        <v>neutral</v>
      </c>
      <c r="AA46" s="12">
        <v>22</v>
      </c>
      <c r="AB46" s="12" t="s">
        <v>464</v>
      </c>
      <c r="AC46" s="12" t="s">
        <v>464</v>
      </c>
      <c r="AD46" t="s">
        <v>193</v>
      </c>
      <c r="AE46" s="12" t="s">
        <v>464</v>
      </c>
    </row>
    <row r="47" spans="1:31" x14ac:dyDescent="0.25">
      <c r="A47" t="str">
        <f t="shared" si="2"/>
        <v>SE46</v>
      </c>
      <c r="B47" t="s">
        <v>518</v>
      </c>
      <c r="C47" s="10" t="s">
        <v>529</v>
      </c>
      <c r="F47" t="str">
        <f t="shared" si="1"/>
        <v>LAYER</v>
      </c>
      <c r="G47">
        <v>6</v>
      </c>
      <c r="H47" t="s">
        <v>233</v>
      </c>
      <c r="I47" t="s">
        <v>545</v>
      </c>
      <c r="J47" s="25"/>
      <c r="L47">
        <v>9</v>
      </c>
      <c r="M47">
        <f ca="1">Erkundungsstelle.Sample.Table[[#This Row],[TIEFE_ENDE]]-Erkundungsstelle.Sample.Table[[#This Row],[DICKE]]</f>
        <v>39</v>
      </c>
      <c r="N47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48</v>
      </c>
      <c r="P47" t="s">
        <v>218</v>
      </c>
      <c r="Q47" t="s">
        <v>463</v>
      </c>
      <c r="R47" s="11" t="s">
        <v>219</v>
      </c>
      <c r="S47" t="s">
        <v>220</v>
      </c>
      <c r="T47" t="s">
        <v>238</v>
      </c>
      <c r="U47" s="12" t="s">
        <v>557</v>
      </c>
      <c r="V47" s="12" t="s">
        <v>557</v>
      </c>
      <c r="X47" t="s">
        <v>217</v>
      </c>
      <c r="Y47" t="str" cm="1">
        <f t="array" ref="Y47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(XD)</v>
      </c>
      <c r="Z47" s="11" t="str">
        <f>IF(Erkundungsstelle.Sample.Table[[#This Row],[PECH]]="JA","auffällig",IF(Erkundungsstelle.Sample.Table[[#This Row],[ART]]&lt;&gt;"","neutral",""))</f>
        <v>neutral</v>
      </c>
      <c r="AA47" s="12">
        <v>23</v>
      </c>
      <c r="AB47" s="12" t="s">
        <v>465</v>
      </c>
      <c r="AC47" s="12" t="s">
        <v>465</v>
      </c>
      <c r="AD47" t="s">
        <v>222</v>
      </c>
      <c r="AE47" s="12" t="s">
        <v>465</v>
      </c>
    </row>
    <row r="48" spans="1:31" x14ac:dyDescent="0.25">
      <c r="A48" t="str">
        <f t="shared" si="2"/>
        <v>SE47</v>
      </c>
      <c r="B48" t="s">
        <v>519</v>
      </c>
      <c r="C48" s="10" t="s">
        <v>532</v>
      </c>
      <c r="F48" t="str">
        <f t="shared" si="1"/>
        <v>LAYER</v>
      </c>
      <c r="G48">
        <v>1</v>
      </c>
      <c r="H48" t="s">
        <v>264</v>
      </c>
      <c r="I48" t="s">
        <v>349</v>
      </c>
      <c r="J48" s="25"/>
      <c r="L48">
        <v>1</v>
      </c>
      <c r="M48">
        <f ca="1">Erkundungsstelle.Sample.Table[[#This Row],[TIEFE_ENDE]]-Erkundungsstelle.Sample.Table[[#This Row],[DICKE]]</f>
        <v>0</v>
      </c>
      <c r="N48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</v>
      </c>
      <c r="P48" t="s">
        <v>235</v>
      </c>
      <c r="Q48" t="s">
        <v>448</v>
      </c>
      <c r="R48" s="11" t="s">
        <v>236</v>
      </c>
      <c r="S48" t="s">
        <v>237</v>
      </c>
      <c r="T48" t="s">
        <v>256</v>
      </c>
      <c r="U48" s="12" t="s">
        <v>558</v>
      </c>
      <c r="V48" s="12" t="s">
        <v>558</v>
      </c>
      <c r="X48" t="s">
        <v>234</v>
      </c>
      <c r="Y48" t="str" cm="1">
        <f t="array" ref="Y48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ST</v>
      </c>
      <c r="Z48" s="11" t="str">
        <f>IF(Erkundungsstelle.Sample.Table[[#This Row],[PECH]]="JA","auffällig",IF(Erkundungsstelle.Sample.Table[[#This Row],[ART]]&lt;&gt;"","neutral",""))</f>
        <v>neutral</v>
      </c>
      <c r="AA48" s="12">
        <v>24</v>
      </c>
      <c r="AB48" s="12" t="s">
        <v>562</v>
      </c>
      <c r="AC48" s="12" t="s">
        <v>562</v>
      </c>
      <c r="AD48" t="s">
        <v>193</v>
      </c>
      <c r="AE48" s="12" t="s">
        <v>562</v>
      </c>
    </row>
    <row r="49" spans="1:31" x14ac:dyDescent="0.25">
      <c r="A49" t="str">
        <f t="shared" si="2"/>
        <v>SE48</v>
      </c>
      <c r="B49" t="s">
        <v>519</v>
      </c>
      <c r="C49" s="10" t="s">
        <v>531</v>
      </c>
      <c r="D49" t="s">
        <v>770</v>
      </c>
      <c r="F49" t="str">
        <f t="shared" si="1"/>
        <v>LAYER</v>
      </c>
      <c r="G49">
        <v>2</v>
      </c>
      <c r="H49" t="s">
        <v>264</v>
      </c>
      <c r="I49" t="s">
        <v>533</v>
      </c>
      <c r="J49" s="25"/>
      <c r="L49">
        <v>2</v>
      </c>
      <c r="M49">
        <f ca="1">Erkundungsstelle.Sample.Table[[#This Row],[TIEFE_ENDE]]-Erkundungsstelle.Sample.Table[[#This Row],[DICKE]]</f>
        <v>1</v>
      </c>
      <c r="N49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3</v>
      </c>
      <c r="P49" t="s">
        <v>253</v>
      </c>
      <c r="Q49" t="s">
        <v>551</v>
      </c>
      <c r="R49" s="11" t="s">
        <v>254</v>
      </c>
      <c r="S49" t="s">
        <v>255</v>
      </c>
      <c r="T49" t="s">
        <v>256</v>
      </c>
      <c r="U49" s="12" t="s">
        <v>559</v>
      </c>
      <c r="V49" s="12" t="s">
        <v>559</v>
      </c>
      <c r="X49" t="s">
        <v>234</v>
      </c>
      <c r="Y49" t="str" cm="1">
        <f t="array" ref="Y49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</v>
      </c>
      <c r="Z49" s="11" t="str">
        <f>IF(Erkundungsstelle.Sample.Table[[#This Row],[PECH]]="JA","auffällig",IF(Erkundungsstelle.Sample.Table[[#This Row],[ART]]&lt;&gt;"","neutral",""))</f>
        <v>neutral</v>
      </c>
      <c r="AA49" s="12">
        <v>25</v>
      </c>
      <c r="AB49" s="12" t="s">
        <v>464</v>
      </c>
      <c r="AC49" s="12" t="s">
        <v>464</v>
      </c>
      <c r="AD49" t="s">
        <v>222</v>
      </c>
      <c r="AE49" s="12" t="s">
        <v>464</v>
      </c>
    </row>
    <row r="50" spans="1:31" x14ac:dyDescent="0.25">
      <c r="A50" t="str">
        <f t="shared" si="2"/>
        <v>SE49</v>
      </c>
      <c r="B50" t="s">
        <v>519</v>
      </c>
      <c r="C50" s="10" t="s">
        <v>531</v>
      </c>
      <c r="F50" t="str">
        <f t="shared" si="1"/>
        <v>LAYER</v>
      </c>
      <c r="G50">
        <v>3</v>
      </c>
      <c r="H50" t="s">
        <v>264</v>
      </c>
      <c r="I50" t="s">
        <v>264</v>
      </c>
      <c r="J50" s="25"/>
      <c r="L50">
        <v>3</v>
      </c>
      <c r="M50">
        <f ca="1">Erkundungsstelle.Sample.Table[[#This Row],[TIEFE_ENDE]]-Erkundungsstelle.Sample.Table[[#This Row],[DICKE]]</f>
        <v>3</v>
      </c>
      <c r="N50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6</v>
      </c>
      <c r="P50" t="s">
        <v>266</v>
      </c>
      <c r="Q50" t="s">
        <v>552</v>
      </c>
      <c r="R50" s="11" t="s">
        <v>267</v>
      </c>
      <c r="S50" t="s">
        <v>268</v>
      </c>
      <c r="T50" t="s">
        <v>256</v>
      </c>
      <c r="U50" s="12" t="s">
        <v>560</v>
      </c>
      <c r="V50" s="12" t="s">
        <v>560</v>
      </c>
      <c r="Y50" t="str" cm="1">
        <f t="array" ref="Y50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Oberboden</v>
      </c>
      <c r="Z50" s="11" t="str">
        <f>IF(Erkundungsstelle.Sample.Table[[#This Row],[PECH]]="JA","auffällig",IF(Erkundungsstelle.Sample.Table[[#This Row],[ART]]&lt;&gt;"","neutral",""))</f>
        <v>neutral</v>
      </c>
      <c r="AA50" s="12">
        <v>26</v>
      </c>
      <c r="AB50" s="12" t="s">
        <v>465</v>
      </c>
      <c r="AC50" s="12" t="s">
        <v>465</v>
      </c>
      <c r="AD50" t="s">
        <v>193</v>
      </c>
      <c r="AE50" s="12" t="s">
        <v>465</v>
      </c>
    </row>
    <row r="51" spans="1:31" x14ac:dyDescent="0.25">
      <c r="A51" t="str">
        <f t="shared" si="2"/>
        <v>SE50</v>
      </c>
      <c r="B51" t="s">
        <v>519</v>
      </c>
      <c r="C51" s="10" t="s">
        <v>524</v>
      </c>
      <c r="F51" t="str">
        <f t="shared" si="1"/>
        <v>LAYER</v>
      </c>
      <c r="G51">
        <v>4</v>
      </c>
      <c r="H51" t="s">
        <v>264</v>
      </c>
      <c r="I51" t="s">
        <v>264</v>
      </c>
      <c r="J51" s="25"/>
      <c r="L51">
        <v>3</v>
      </c>
      <c r="M51">
        <f ca="1">Erkundungsstelle.Sample.Table[[#This Row],[TIEFE_ENDE]]-Erkundungsstelle.Sample.Table[[#This Row],[DICKE]]</f>
        <v>6</v>
      </c>
      <c r="N51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9</v>
      </c>
      <c r="P51" t="s">
        <v>218</v>
      </c>
      <c r="Q51" t="s">
        <v>463</v>
      </c>
      <c r="R51" s="11" t="s">
        <v>219</v>
      </c>
      <c r="S51" t="s">
        <v>277</v>
      </c>
      <c r="T51" t="s">
        <v>256</v>
      </c>
      <c r="U51" s="12" t="s">
        <v>561</v>
      </c>
      <c r="V51" s="12" t="s">
        <v>561</v>
      </c>
      <c r="Y51" t="str" cm="1">
        <f t="array" ref="Y51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Oberboden</v>
      </c>
      <c r="Z51" s="11" t="str">
        <f>IF(Erkundungsstelle.Sample.Table[[#This Row],[PECH]]="JA","auffällig",IF(Erkundungsstelle.Sample.Table[[#This Row],[ART]]&lt;&gt;"","neutral",""))</f>
        <v>neutral</v>
      </c>
      <c r="AA51" s="12">
        <v>27</v>
      </c>
      <c r="AB51" s="12" t="s">
        <v>562</v>
      </c>
      <c r="AC51" s="12" t="s">
        <v>562</v>
      </c>
      <c r="AD51" t="s">
        <v>222</v>
      </c>
      <c r="AE51" s="12" t="s">
        <v>562</v>
      </c>
    </row>
    <row r="52" spans="1:31" x14ac:dyDescent="0.25">
      <c r="A52" t="str">
        <f t="shared" si="2"/>
        <v>SE51</v>
      </c>
      <c r="B52" t="s">
        <v>519</v>
      </c>
      <c r="C52" s="10"/>
      <c r="E52" t="s">
        <v>549</v>
      </c>
      <c r="F52" t="str">
        <f t="shared" si="1"/>
        <v>LAYER</v>
      </c>
      <c r="G52">
        <v>5</v>
      </c>
      <c r="H52" t="s">
        <v>233</v>
      </c>
      <c r="I52" t="s">
        <v>550</v>
      </c>
      <c r="J52" s="25"/>
      <c r="L52">
        <v>100</v>
      </c>
      <c r="M52">
        <f ca="1">Erkundungsstelle.Sample.Table[[#This Row],[TIEFE_ENDE]]-Erkundungsstelle.Sample.Table[[#This Row],[DICKE]]</f>
        <v>9</v>
      </c>
      <c r="N52">
        <f ca="1">IF(CELL("contents",INDIRECT(ADDRESS(ROW()-1,COLUMN(Erkundungsstelle.Sample.Table[[#This Row],[PROBE.ID]]))))=Erkundungsstelle.Sample.Table[[#This Row],[PROBE.ID]],(INDIRECT(ADDRESS(ROW()-1,COLUMN(Erkundungsstelle.Sample.Table[[#This Row],[TIEFE_ENDE]])))+Erkundungsstelle.Sample.Table[[#This Row],[DICKE]]),Erkundungsstelle.Sample.Table[[#This Row],[DICKE]])</f>
        <v>109</v>
      </c>
      <c r="R52" s="11"/>
      <c r="U52" s="12"/>
      <c r="Y52" t="str" cm="1">
        <f t="array" ref="Y52">IF(OR(INDEX(COUNTIF(Erkundungsstelle.Sample.Table[[#This Row],[AUFSCHLUSS]],{"GOB";"TMHB";"BETON";"BESCHICHTUNG";"FUGE";"ABDICHTUNG"}),)),IF(OR(INDEX(COUNTIF(Erkundungsstelle.Sample.Table[[#This Row],[ART]],{"*Deckschicht*";"*Binderschicht*";"*Tragschicht*";"*Tragdeckschicht*";"*Oberflächenbehandlung*";"*Einstreudecke";"*Einstreudecke + Schotter*";"*Einstreudecke + anhaft. Schotter*";"*Einstreudecke + Splitt*";"*Einstreudecke + anhaft. Splitt*";"*Gussasphalt*";"*Dünnschichtbelag*"}),)),IF(Erkundungsstelle.Sample.Table[[#This Row],[PECH]]="nein","Asphalt","bit. Befestigung"),IF(Erkundungsstelle.Sample.Table[[#This Row],[ART]]&lt;&gt;"",Erkundungsstelle.Sample.Table[[#This Row],[ART]],"")),IF(Erkundungsstelle.Sample.Table[[#This Row],[AUFSCHLUSS]]="UG",IF(ISNUMBER(SEARCH("[",IF(Erkundungsstelle.Sample.Table[[#This Row],[ART]]&lt;&gt;"",Erkundungsstelle.Sample.Table[[#This Row],[ART]],""))),"Boden (Auffüllung)",IF(OR(INDEX(COUNTIF(Erkundungsstelle.Sample.Table[[#This Row],[ART]],{"OB";"OH";"OT"}),)),"Oberboden","Boden")),IF(ISNUMBER(SEARCH("OH*",IF(Erkundungsstelle.Sample.Table[[#This Row],[ART]]&lt;&gt;"",Erkundungsstelle.Sample.Table[[#This Row],[ART]],""))),"Oberboden",IF(Erkundungsstelle.Sample.Table[[#This Row],[ART]]&lt;&gt;"",Erkundungsstelle.Sample.Table[[#This Row],[ART]],""))))</f>
        <v>Gem. A. G. (DT)</v>
      </c>
      <c r="Z52" s="11" t="str">
        <f>IF(Erkundungsstelle.Sample.Table[[#This Row],[PECH]]="JA","auffällig",IF(Erkundungsstelle.Sample.Table[[#This Row],[ART]]&lt;&gt;"","neutral",""))</f>
        <v>neutral</v>
      </c>
    </row>
    <row r="53" spans="1:31" x14ac:dyDescent="0.25">
      <c r="C53" s="10"/>
      <c r="J53" s="25"/>
      <c r="R53" s="11"/>
      <c r="U53" s="12"/>
      <c r="Z53" s="11"/>
    </row>
    <row r="54" spans="1:31" x14ac:dyDescent="0.25">
      <c r="C54" s="10"/>
      <c r="J54" s="25"/>
      <c r="R54" s="11"/>
      <c r="U54" s="12"/>
      <c r="Z54" s="11"/>
    </row>
    <row r="55" spans="1:31" x14ac:dyDescent="0.25">
      <c r="C55" s="10"/>
      <c r="J55" s="25"/>
      <c r="R55" s="11"/>
      <c r="U55" s="12"/>
      <c r="Z55" s="11"/>
    </row>
    <row r="56" spans="1:31" x14ac:dyDescent="0.25">
      <c r="C56" s="10"/>
      <c r="J56" s="25"/>
      <c r="R56" s="11"/>
      <c r="U56" s="12"/>
      <c r="Z56" s="11"/>
    </row>
    <row r="57" spans="1:31" x14ac:dyDescent="0.25">
      <c r="C57" s="10"/>
      <c r="J57" s="25"/>
      <c r="R57" s="11"/>
      <c r="U57" s="12"/>
      <c r="Z57" s="11"/>
    </row>
    <row r="58" spans="1:31" x14ac:dyDescent="0.25">
      <c r="C58" s="10"/>
      <c r="J58" s="25"/>
      <c r="R58" s="11"/>
      <c r="U58" s="12"/>
      <c r="Z58" s="11"/>
    </row>
    <row r="59" spans="1:31" x14ac:dyDescent="0.25">
      <c r="C59" s="10"/>
      <c r="J59" s="25"/>
      <c r="R59" s="11"/>
      <c r="U59" s="12"/>
      <c r="Z59" s="11"/>
    </row>
    <row r="60" spans="1:31" x14ac:dyDescent="0.25">
      <c r="C60" s="10"/>
      <c r="J60" s="25"/>
      <c r="R60" s="11"/>
      <c r="U60" s="12"/>
      <c r="Z60" s="11"/>
    </row>
    <row r="61" spans="1:31" x14ac:dyDescent="0.25">
      <c r="C61" s="10"/>
      <c r="J61" s="25"/>
      <c r="R61" s="11"/>
      <c r="U61" s="12"/>
      <c r="Z61" s="11"/>
    </row>
    <row r="62" spans="1:31" x14ac:dyDescent="0.25">
      <c r="C62" s="10"/>
      <c r="J62" s="25"/>
      <c r="R62" s="11"/>
      <c r="U62" s="12"/>
      <c r="Z62" s="11"/>
    </row>
    <row r="63" spans="1:31" x14ac:dyDescent="0.25">
      <c r="C63" s="10"/>
      <c r="J63" s="25"/>
      <c r="R63" s="11"/>
      <c r="U63" s="12"/>
      <c r="Z63" s="11"/>
    </row>
    <row r="64" spans="1:31" x14ac:dyDescent="0.25">
      <c r="C64" s="10"/>
      <c r="J64" s="25"/>
      <c r="R64" s="11"/>
      <c r="U64" s="12"/>
      <c r="Z64" s="11"/>
    </row>
    <row r="65" spans="3:26" x14ac:dyDescent="0.25">
      <c r="C65" s="10"/>
      <c r="J65" s="25"/>
      <c r="R65" s="11"/>
      <c r="U65" s="12"/>
      <c r="Z65" s="11"/>
    </row>
    <row r="66" spans="3:26" x14ac:dyDescent="0.25">
      <c r="C66" s="10"/>
      <c r="J66" s="25"/>
      <c r="R66" s="11"/>
      <c r="U66" s="12"/>
      <c r="Z66" s="11"/>
    </row>
    <row r="67" spans="3:26" x14ac:dyDescent="0.25">
      <c r="C67" s="10"/>
      <c r="J67" s="25"/>
      <c r="R67" s="11"/>
      <c r="U67" s="12"/>
      <c r="Z67" s="11"/>
    </row>
    <row r="68" spans="3:26" x14ac:dyDescent="0.25">
      <c r="C68" s="10"/>
      <c r="J68" s="25"/>
      <c r="R68" s="11"/>
      <c r="U68" s="12"/>
      <c r="Z68" s="11"/>
    </row>
    <row r="69" spans="3:26" x14ac:dyDescent="0.25">
      <c r="C69" s="10"/>
      <c r="J69" s="25"/>
      <c r="R69" s="11"/>
      <c r="U69" s="12"/>
      <c r="Z69" s="11"/>
    </row>
    <row r="70" spans="3:26" x14ac:dyDescent="0.25">
      <c r="C70" s="10"/>
      <c r="J70" s="25"/>
      <c r="R70" s="11"/>
      <c r="U70" s="12"/>
      <c r="Z70" s="11"/>
    </row>
    <row r="71" spans="3:26" x14ac:dyDescent="0.25">
      <c r="C71" s="10"/>
      <c r="J71" s="25"/>
      <c r="R71" s="11"/>
      <c r="U71" s="12"/>
      <c r="Z71" s="11"/>
    </row>
    <row r="72" spans="3:26" x14ac:dyDescent="0.25">
      <c r="C72" s="10"/>
      <c r="J72" s="25"/>
      <c r="R72" s="11"/>
      <c r="U72" s="12"/>
      <c r="Z72" s="11"/>
    </row>
    <row r="73" spans="3:26" x14ac:dyDescent="0.25">
      <c r="C73" s="10"/>
      <c r="J73" s="25"/>
      <c r="R73" s="11"/>
      <c r="U73" s="12"/>
      <c r="Z73" s="11"/>
    </row>
    <row r="74" spans="3:26" x14ac:dyDescent="0.25">
      <c r="C74" s="10"/>
      <c r="J74" s="25"/>
      <c r="R74" s="11"/>
      <c r="U74" s="12"/>
      <c r="Z74" s="11"/>
    </row>
    <row r="75" spans="3:26" x14ac:dyDescent="0.25">
      <c r="C75" s="10"/>
      <c r="J75" s="25"/>
      <c r="R75" s="11"/>
      <c r="U75" s="12"/>
      <c r="Z75" s="11"/>
    </row>
    <row r="76" spans="3:26" x14ac:dyDescent="0.25">
      <c r="C76" s="10"/>
      <c r="J76" s="25"/>
      <c r="R76" s="11"/>
      <c r="U76" s="12"/>
      <c r="Z76" s="11"/>
    </row>
    <row r="77" spans="3:26" x14ac:dyDescent="0.25">
      <c r="C77" s="10"/>
      <c r="J77" s="25"/>
      <c r="R77" s="11"/>
      <c r="U77" s="12"/>
      <c r="Z77" s="11"/>
    </row>
    <row r="78" spans="3:26" x14ac:dyDescent="0.25">
      <c r="C78" s="10"/>
      <c r="J78" s="25"/>
      <c r="R78" s="11"/>
      <c r="U78" s="12"/>
      <c r="Z78" s="11"/>
    </row>
    <row r="79" spans="3:26" x14ac:dyDescent="0.25">
      <c r="C79" s="10"/>
      <c r="J79" s="25"/>
      <c r="R79" s="11"/>
      <c r="U79" s="12"/>
      <c r="Z79" s="11"/>
    </row>
    <row r="80" spans="3:26" x14ac:dyDescent="0.25">
      <c r="C80" s="10"/>
      <c r="J80" s="25"/>
      <c r="R80" s="11"/>
      <c r="U80" s="12"/>
      <c r="Z80" s="11"/>
    </row>
    <row r="81" spans="3:26" x14ac:dyDescent="0.25">
      <c r="C81" s="10"/>
      <c r="J81" s="25"/>
      <c r="R81" s="11"/>
      <c r="U81" s="12"/>
      <c r="Z81" s="11"/>
    </row>
    <row r="82" spans="3:26" x14ac:dyDescent="0.25">
      <c r="C82" s="10"/>
      <c r="J82" s="25"/>
      <c r="R82" s="11"/>
      <c r="U82" s="12"/>
      <c r="Z82" s="11"/>
    </row>
    <row r="83" spans="3:26" x14ac:dyDescent="0.25">
      <c r="C83" s="10"/>
      <c r="J83" s="25"/>
      <c r="R83" s="11"/>
      <c r="U83" s="12"/>
      <c r="Z83" s="11"/>
    </row>
    <row r="84" spans="3:26" x14ac:dyDescent="0.25">
      <c r="C84" s="10"/>
      <c r="J84" s="25"/>
      <c r="R84" s="11"/>
      <c r="U84" s="12"/>
      <c r="Z84" s="11"/>
    </row>
    <row r="85" spans="3:26" x14ac:dyDescent="0.25">
      <c r="C85" s="10"/>
      <c r="J85" s="25"/>
      <c r="R85" s="11"/>
      <c r="U85" s="12"/>
      <c r="Z85" s="11"/>
    </row>
    <row r="86" spans="3:26" x14ac:dyDescent="0.25">
      <c r="C86" s="10"/>
      <c r="J86" s="25"/>
      <c r="R86" s="11"/>
      <c r="U86" s="12"/>
      <c r="Z86" s="11"/>
    </row>
    <row r="87" spans="3:26" x14ac:dyDescent="0.25">
      <c r="C87" s="10"/>
      <c r="J87" s="25"/>
      <c r="R87" s="11"/>
      <c r="U87" s="12"/>
      <c r="Z87" s="11"/>
    </row>
    <row r="88" spans="3:26" x14ac:dyDescent="0.25">
      <c r="C88" s="10"/>
      <c r="J88" s="25"/>
      <c r="R88" s="11"/>
      <c r="U88" s="12"/>
      <c r="Z88" s="11"/>
    </row>
    <row r="89" spans="3:26" x14ac:dyDescent="0.25">
      <c r="C89" s="10"/>
      <c r="J89" s="25"/>
      <c r="R89" s="11"/>
      <c r="U89" s="12"/>
      <c r="Z89" s="11"/>
    </row>
    <row r="90" spans="3:26" x14ac:dyDescent="0.25">
      <c r="C90" s="10"/>
      <c r="J90" s="25"/>
      <c r="R90" s="11"/>
      <c r="U90" s="12"/>
      <c r="Z90" s="11"/>
    </row>
    <row r="91" spans="3:26" x14ac:dyDescent="0.25">
      <c r="C91" s="10"/>
      <c r="J91" s="25"/>
      <c r="R91" s="11"/>
      <c r="U91" s="12"/>
      <c r="Z91" s="11"/>
    </row>
    <row r="92" spans="3:26" x14ac:dyDescent="0.25">
      <c r="C92" s="10"/>
      <c r="J92" s="25"/>
      <c r="R92" s="11"/>
      <c r="U92" s="12"/>
      <c r="Z92" s="11"/>
    </row>
    <row r="93" spans="3:26" x14ac:dyDescent="0.25">
      <c r="C93" s="10"/>
      <c r="J93" s="25"/>
      <c r="R93" s="11"/>
      <c r="U93" s="12"/>
      <c r="Z93" s="11"/>
    </row>
    <row r="94" spans="3:26" x14ac:dyDescent="0.25">
      <c r="C94" s="10"/>
      <c r="J94" s="25"/>
      <c r="R94" s="11"/>
      <c r="U94" s="12"/>
      <c r="Z94" s="11"/>
    </row>
    <row r="95" spans="3:26" x14ac:dyDescent="0.25">
      <c r="C95" s="10"/>
      <c r="J95" s="25"/>
      <c r="R95" s="11"/>
      <c r="U95" s="12"/>
      <c r="Z95" s="11"/>
    </row>
    <row r="96" spans="3:26" x14ac:dyDescent="0.25">
      <c r="C96" s="10"/>
      <c r="J96" s="25"/>
      <c r="R96" s="11"/>
      <c r="U96" s="12"/>
      <c r="Z96" s="11"/>
    </row>
    <row r="97" spans="3:26" x14ac:dyDescent="0.25">
      <c r="C97" s="10"/>
      <c r="J97" s="25"/>
      <c r="R97" s="11"/>
      <c r="U97" s="12"/>
      <c r="Z97" s="11"/>
    </row>
  </sheetData>
  <dataConsolidate/>
  <phoneticPr fontId="1" type="noConversion"/>
  <dataValidations xWindow="1533" yWindow="483" count="21">
    <dataValidation allowBlank="1" showInputMessage="1" showErrorMessage="1" errorTitle="Falscher Aufschluss!" error="Bitte wählen Sie einen Aufschluss aus der Liste." promptTitle="Aufschluss" prompt="Bitte wählen sie einen Aufschluss aus der Liste." sqref="H1" xr:uid="{2812C2F9-489F-4251-B754-A0C5278AECA6}"/>
    <dataValidation allowBlank="1" showInputMessage="1" showErrorMessage="1" errorTitle="Fehler!" error="Ungültige Eingabe." promptTitle="Pechnachweis" prompt="Wählen Sie aus der Liste aus." sqref="O1" xr:uid="{1300AB54-2A2F-4104-8C7B-AA8163C4B3A7}"/>
    <dataValidation errorStyle="information" allowBlank="1" showInputMessage="1" showErrorMessage="1" errorTitle="Achtung!" error="Ihre Eingabe befindet sich nicht unter den Vorgaben." promptTitle="Verdichtung" prompt="Wählen sie aus ob die Schicht die Verdichtungsfähigkeit beistzt." sqref="AD1" xr:uid="{32623C16-14FD-4FE5-A180-C8C2C943A3E6}"/>
    <dataValidation errorStyle="information" allowBlank="1" showInputMessage="1" showErrorMessage="1" errorTitle="Achtung!" error="Die angegebene Feuchtigkeit befindet sich unter den Vorgaben." promptTitle="Feuchtigkeit" prompt="Bitte wählen Sie aus der Liste." sqref="T1" xr:uid="{AE7DFBCA-E1D7-4972-B9D3-1235B694B319}"/>
    <dataValidation errorStyle="information" allowBlank="1" showInputMessage="1" showErrorMessage="1" errorTitle="Achtung!" error="Die angegebene Konsistenz befindet sich nicht unter den Vorgaben." promptTitle="Konsistenz" prompt="Bitte wählen Sie eine Konsistenz aus der Liste." sqref="S1" xr:uid="{37153180-5D93-47F8-A5B5-CCEA187F8ECE}"/>
    <dataValidation errorStyle="information" allowBlank="1" showInputMessage="1" showErrorMessage="1" errorTitle="Achtung!" error="Diese Bodenart ist nicht in der Liste vorhanden." promptTitle="Bodenart" prompt="Bitte wählen sie eine Bodenart aus der Liste." sqref="R1" xr:uid="{7CFD7AD4-8602-442C-91D5-E5A4E1F46779}"/>
    <dataValidation errorStyle="information" allowBlank="1" showInputMessage="1" showErrorMessage="1" errorTitle="Achtung" promptTitle="Rundungsgrad" prompt="Bitte wählen Sie eine Eigenschaft aus der Liste oder tragen selbst einen Wert ein." sqref="P1" xr:uid="{C4C7E983-7EF4-4F8B-8BA3-B0FE51090EA2}"/>
    <dataValidation errorStyle="warning" allowBlank="1" showInputMessage="1" showErrorMessage="1" errorTitle="Achtung!" error="Möglicherweise fehlerhaftes Behältnis." promptTitle="Behältnis" prompt="Bitte wählen Sie eines der Behältnisse!" sqref="X1" xr:uid="{E2174CBD-EBE5-4279-BEDD-1F10FD0F1C06}"/>
    <dataValidation type="list" allowBlank="1" showInputMessage="1" showErrorMessage="1" sqref="C98:C1048576" xr:uid="{857664EA-ECBC-4369-B059-0289208C77FC}">
      <formula1>CHEMIE_ID</formula1>
    </dataValidation>
    <dataValidation type="list" allowBlank="1" showInputMessage="1" showErrorMessage="1" sqref="C2:C52" xr:uid="{7D232F96-0A2B-4726-B38F-21BF2302A526}">
      <formula1>CHEMIE_ID_GEB</formula1>
    </dataValidation>
    <dataValidation type="list" allowBlank="1" showInputMessage="1" showErrorMessage="1" errorTitle="Falscher Aufschluss!" error="Bitte wählen Sie einen Aufschluss aus der Liste." promptTitle="Aufschluss" prompt="Bitte wählen sie einen Aufschluss aus der Liste." sqref="H2:H1048576" xr:uid="{10AD592B-719D-4909-8905-6325603E0A4D}">
      <formula1>AUFSCHLUSS_AUSWAHL</formula1>
    </dataValidation>
    <dataValidation type="list" allowBlank="1" showInputMessage="1" showErrorMessage="1" errorTitle="Fehler!" error="Ungültige Eingabe." promptTitle="Pechnachweis" prompt="Wählen Sie aus der Liste aus." sqref="O2:O1048576" xr:uid="{93508978-8F5C-4F80-9771-5A89B25D0DDC}">
      <formula1>JA_NEIN_AUSWAHL</formula1>
    </dataValidation>
    <dataValidation type="list" errorStyle="information" allowBlank="1" showInputMessage="1" showErrorMessage="1" errorTitle="Achtung" promptTitle="Rundungsgrad" prompt="Bitte wählen Sie eine Eigenschaft aus der Liste oder tragen selbst einen Wert ein." sqref="P2:P1048576" xr:uid="{B9D20699-2312-4080-A7B1-872C29BE547B}">
      <formula1>RUNDUNGSGRAD_AUSWAHL</formula1>
    </dataValidation>
    <dataValidation type="list" errorStyle="information" allowBlank="1" showInputMessage="1" showErrorMessage="1" errorTitle="Achtung!" error="Diese Bodenart ist nicht in der Liste vorhanden." promptTitle="Bodenart" prompt="Bitte wählen sie eine Bodenart aus der Liste." sqref="R2:R1048576" xr:uid="{A9ABD460-38AC-424F-B235-149421325D66}">
      <formula1>BODENART_AUSWAHL</formula1>
    </dataValidation>
    <dataValidation type="list" errorStyle="information" allowBlank="1" showInputMessage="1" showErrorMessage="1" errorTitle="Achtung!" error="Die angegebene Konsistenz befindet sich nicht unter den Vorgaben." promptTitle="Konsistenz" prompt="Bitte wählen Sie eine Konsistenz aus der Liste." sqref="S2:S1048576" xr:uid="{580A785D-71DA-4FDF-8754-9687BCFCC5C0}">
      <formula1>KONSISTENZ_AUSWAHL</formula1>
    </dataValidation>
    <dataValidation type="list" errorStyle="information" allowBlank="1" showInputMessage="1" showErrorMessage="1" errorTitle="Achtung!" error="Die angegebene Feuchtigkeit befindet sich unter den Vorgaben." promptTitle="Feuchtigkeit" prompt="Bitte wählen Sie aus der Liste." sqref="T2:T1048576" xr:uid="{D61B662D-D1BB-4FC1-A7A5-F73175FF3E73}">
      <formula1>FEUCHTIGKEIT_AUSWAHL</formula1>
    </dataValidation>
    <dataValidation type="list" errorStyle="warning" allowBlank="1" showInputMessage="1" showErrorMessage="1" errorTitle="Achtung!" error="Möglicherweise fehlerhaftes Behältnis." promptTitle="Behältnis" prompt="Bitte wählen Sie eines der Behältnisse!" sqref="X2:X1048576" xr:uid="{B3A622FE-F961-444A-9164-D229A2A77E6B}">
      <formula1>BEHAELTNIS_AUSWAHL</formula1>
    </dataValidation>
    <dataValidation type="list" errorStyle="information" allowBlank="1" showInputMessage="1" showErrorMessage="1" errorTitle="Achtung!" error="Ihre Eingabe befindet sich nicht unter den Vorgaben." promptTitle="Verdichtung" prompt="Wählen sie aus ob die Schicht die Verdichtungsfähigkeit beistzt." sqref="AD2:AD1048576" xr:uid="{ACD4893F-7752-4CFF-B714-498927C309BE}">
      <formula1>JA_NEIN_AUSWAHL</formula1>
    </dataValidation>
    <dataValidation type="list" allowBlank="1" showInputMessage="1" showErrorMessage="1" sqref="D2:D1048576" xr:uid="{8A55BE5F-729C-4B77-8705-ABB3C2A82F4C}">
      <formula1>RUK_ID</formula1>
    </dataValidation>
    <dataValidation type="list" allowBlank="1" showInputMessage="1" showErrorMessage="1" sqref="B2:B1048576" xr:uid="{C2B52AE8-44CE-41DF-851C-FA108CBFFEC6}">
      <formula1>ERK_ID</formula1>
    </dataValidation>
    <dataValidation type="list" allowBlank="1" showInputMessage="1" showErrorMessage="1" sqref="E2:E1048576" xr:uid="{4BCF50AE-D682-4DDF-B383-3083232181CC}">
      <formula1>LP_ID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D661-287D-4F88-875A-63E4F0E70659}">
  <sheetPr>
    <tabColor theme="4" tint="-0.249977111117893"/>
  </sheetPr>
  <dimension ref="A1:I11"/>
  <sheetViews>
    <sheetView workbookViewId="0">
      <selection activeCell="E20" sqref="E20"/>
    </sheetView>
  </sheetViews>
  <sheetFormatPr baseColWidth="10" defaultColWidth="11.42578125" defaultRowHeight="15" x14ac:dyDescent="0.25"/>
  <cols>
    <col min="1" max="1" width="13.42578125" customWidth="1"/>
    <col min="2" max="2" width="6.140625" customWidth="1"/>
    <col min="3" max="3" width="12" bestFit="1" customWidth="1"/>
    <col min="4" max="4" width="10.7109375" bestFit="1" customWidth="1"/>
    <col min="5" max="5" width="18.85546875" customWidth="1"/>
    <col min="6" max="6" width="10.5703125" bestFit="1" customWidth="1"/>
    <col min="7" max="7" width="21" bestFit="1" customWidth="1"/>
    <col min="8" max="8" width="17.28515625" bestFit="1" customWidth="1"/>
    <col min="9" max="9" width="51.7109375" bestFit="1" customWidth="1"/>
  </cols>
  <sheetData>
    <row r="1" spans="1:9" x14ac:dyDescent="0.25">
      <c r="A1" s="18" t="s">
        <v>9</v>
      </c>
      <c r="B1" s="18" t="s">
        <v>473</v>
      </c>
      <c r="C1" s="18" t="s">
        <v>10</v>
      </c>
      <c r="D1" s="19" t="s">
        <v>11</v>
      </c>
      <c r="E1" s="20" t="s">
        <v>12</v>
      </c>
      <c r="F1" s="20" t="s">
        <v>13</v>
      </c>
      <c r="G1" s="20" t="s">
        <v>31</v>
      </c>
      <c r="H1" s="20" t="s">
        <v>32</v>
      </c>
      <c r="I1" s="20" t="s">
        <v>33</v>
      </c>
    </row>
    <row r="2" spans="1:9" x14ac:dyDescent="0.25">
      <c r="A2" t="s">
        <v>1</v>
      </c>
      <c r="B2" t="str">
        <f>"HEAP"</f>
        <v>HEAP</v>
      </c>
      <c r="C2">
        <v>1</v>
      </c>
      <c r="D2" s="10">
        <v>44425</v>
      </c>
      <c r="E2" t="s">
        <v>350</v>
      </c>
      <c r="F2" t="s">
        <v>340</v>
      </c>
      <c r="G2" t="s">
        <v>351</v>
      </c>
      <c r="H2" t="s">
        <v>343</v>
      </c>
      <c r="I2" s="11" t="s">
        <v>344</v>
      </c>
    </row>
    <row r="3" spans="1:9" x14ac:dyDescent="0.25">
      <c r="A3" t="s">
        <v>563</v>
      </c>
      <c r="B3" t="str">
        <f t="shared" ref="B3:B5" si="0">"HEAP"</f>
        <v>HEAP</v>
      </c>
      <c r="C3">
        <v>2</v>
      </c>
      <c r="D3" s="10">
        <v>44426</v>
      </c>
      <c r="E3" t="s">
        <v>350</v>
      </c>
      <c r="F3" t="s">
        <v>340</v>
      </c>
      <c r="G3" t="s">
        <v>351</v>
      </c>
      <c r="H3" t="s">
        <v>452</v>
      </c>
      <c r="I3" s="11" t="s">
        <v>344</v>
      </c>
    </row>
    <row r="4" spans="1:9" x14ac:dyDescent="0.25">
      <c r="A4" t="s">
        <v>564</v>
      </c>
      <c r="B4" t="str">
        <f t="shared" si="0"/>
        <v>HEAP</v>
      </c>
      <c r="C4">
        <v>3</v>
      </c>
      <c r="D4" s="10">
        <v>44427</v>
      </c>
      <c r="E4" t="s">
        <v>350</v>
      </c>
      <c r="F4" t="s">
        <v>340</v>
      </c>
      <c r="G4" t="s">
        <v>351</v>
      </c>
      <c r="H4" t="s">
        <v>486</v>
      </c>
      <c r="I4" s="11" t="s">
        <v>344</v>
      </c>
    </row>
    <row r="5" spans="1:9" x14ac:dyDescent="0.25">
      <c r="A5" t="s">
        <v>565</v>
      </c>
      <c r="B5" t="str">
        <f t="shared" si="0"/>
        <v>HEAP</v>
      </c>
      <c r="C5">
        <v>4</v>
      </c>
      <c r="D5" s="10">
        <v>44428</v>
      </c>
      <c r="E5" t="s">
        <v>350</v>
      </c>
      <c r="F5" t="s">
        <v>340</v>
      </c>
      <c r="G5" t="s">
        <v>351</v>
      </c>
      <c r="H5" t="s">
        <v>491</v>
      </c>
      <c r="I5" s="11" t="s">
        <v>344</v>
      </c>
    </row>
    <row r="6" spans="1:9" x14ac:dyDescent="0.25">
      <c r="D6" s="10"/>
      <c r="I6" s="11"/>
    </row>
    <row r="7" spans="1:9" x14ac:dyDescent="0.25">
      <c r="D7" s="10"/>
      <c r="I7" s="11"/>
    </row>
    <row r="8" spans="1:9" x14ac:dyDescent="0.25">
      <c r="D8" s="10"/>
      <c r="I8" s="11"/>
    </row>
    <row r="9" spans="1:9" x14ac:dyDescent="0.25">
      <c r="D9" s="10"/>
      <c r="I9" s="11"/>
    </row>
    <row r="10" spans="1:9" x14ac:dyDescent="0.25">
      <c r="D10" s="10"/>
      <c r="I10" s="11"/>
    </row>
    <row r="11" spans="1:9" x14ac:dyDescent="0.25">
      <c r="D11" s="10"/>
      <c r="I11" s="11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7650-865A-4A0E-B90F-5CA11C871185}">
  <sheetPr>
    <tabColor theme="4" tint="-0.249977111117893"/>
  </sheetPr>
  <dimension ref="A1:R8"/>
  <sheetViews>
    <sheetView workbookViewId="0">
      <selection activeCell="B6" sqref="B6"/>
    </sheetView>
  </sheetViews>
  <sheetFormatPr baseColWidth="10" defaultColWidth="11.42578125" defaultRowHeight="15" x14ac:dyDescent="0.25"/>
  <cols>
    <col min="1" max="1" width="7.85546875" customWidth="1"/>
    <col min="2" max="2" width="11.5703125" bestFit="1" customWidth="1"/>
    <col min="3" max="3" width="15.85546875" bestFit="1" customWidth="1"/>
    <col min="4" max="4" width="12" customWidth="1"/>
    <col min="5" max="5" width="12" bestFit="1" customWidth="1"/>
    <col min="6" max="6" width="14.7109375" customWidth="1"/>
    <col min="7" max="7" width="17" customWidth="1"/>
    <col min="8" max="8" width="13.7109375" style="12" bestFit="1" customWidth="1"/>
    <col min="9" max="9" width="15" bestFit="1" customWidth="1"/>
    <col min="10" max="10" width="12.5703125" bestFit="1" customWidth="1"/>
    <col min="11" max="11" width="10.5703125" bestFit="1" customWidth="1"/>
    <col min="12" max="12" width="21.85546875" customWidth="1"/>
    <col min="13" max="13" width="16.85546875" customWidth="1"/>
    <col min="14" max="14" width="10.7109375" bestFit="1" customWidth="1"/>
    <col min="15" max="15" width="15.85546875" style="12" bestFit="1" customWidth="1"/>
    <col min="16" max="16" width="7.85546875" bestFit="1" customWidth="1"/>
    <col min="17" max="17" width="13" bestFit="1" customWidth="1"/>
    <col min="18" max="18" width="16.28515625" customWidth="1"/>
  </cols>
  <sheetData>
    <row r="1" spans="1:18" x14ac:dyDescent="0.25">
      <c r="A1" s="18" t="s">
        <v>9</v>
      </c>
      <c r="B1" s="18" t="s">
        <v>15</v>
      </c>
      <c r="C1" s="18" t="s">
        <v>21</v>
      </c>
      <c r="D1" s="18" t="s">
        <v>473</v>
      </c>
      <c r="E1" s="18" t="s">
        <v>10</v>
      </c>
      <c r="F1" s="18" t="s">
        <v>77</v>
      </c>
      <c r="G1" s="18" t="s">
        <v>78</v>
      </c>
      <c r="H1" s="21" t="s">
        <v>79</v>
      </c>
      <c r="I1" s="18" t="s">
        <v>95</v>
      </c>
      <c r="J1" s="18" t="s">
        <v>102</v>
      </c>
      <c r="K1" s="18" t="s">
        <v>103</v>
      </c>
      <c r="L1" s="18" t="s">
        <v>94</v>
      </c>
      <c r="M1" s="18" t="s">
        <v>87</v>
      </c>
      <c r="N1" s="18" t="s">
        <v>49</v>
      </c>
      <c r="O1" s="21" t="s">
        <v>80</v>
      </c>
      <c r="P1" s="18" t="s">
        <v>84</v>
      </c>
      <c r="Q1" s="18" t="s">
        <v>88</v>
      </c>
      <c r="R1" s="18" t="s">
        <v>93</v>
      </c>
    </row>
    <row r="2" spans="1:18" x14ac:dyDescent="0.25">
      <c r="A2" t="str">
        <f>"SH"&amp;ROW()-1</f>
        <v>SH1</v>
      </c>
      <c r="B2" t="s">
        <v>1</v>
      </c>
      <c r="C2" t="s">
        <v>3</v>
      </c>
      <c r="D2" t="str">
        <f>"PIECE"</f>
        <v>PIECE</v>
      </c>
      <c r="E2">
        <v>1</v>
      </c>
      <c r="F2" t="str">
        <f t="shared" ref="F2:F3" si="0">"HAUFWERK"</f>
        <v>HAUFWERK</v>
      </c>
      <c r="G2" t="s">
        <v>349</v>
      </c>
      <c r="H2" s="12" t="s">
        <v>348</v>
      </c>
      <c r="I2" t="s">
        <v>352</v>
      </c>
      <c r="J2">
        <v>250</v>
      </c>
      <c r="K2" cm="1">
        <f t="array" ref="K2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f>
        <v>7</v>
      </c>
      <c r="L2" t="s">
        <v>234</v>
      </c>
      <c r="M2" t="s">
        <v>353</v>
      </c>
      <c r="N2" t="s">
        <v>308</v>
      </c>
      <c r="Q2" t="s">
        <v>236</v>
      </c>
      <c r="R2" t="s">
        <v>354</v>
      </c>
    </row>
    <row r="3" spans="1:18" x14ac:dyDescent="0.25">
      <c r="A3" t="str">
        <f t="shared" ref="A3" si="1">"SH"&amp;ROW()-1</f>
        <v>SH2</v>
      </c>
      <c r="B3" t="s">
        <v>1</v>
      </c>
      <c r="C3" t="s">
        <v>526</v>
      </c>
      <c r="D3" t="str">
        <f t="shared" ref="D3:D8" si="2">"PIECE"</f>
        <v>PIECE</v>
      </c>
      <c r="E3">
        <v>2</v>
      </c>
      <c r="F3" t="str">
        <f t="shared" si="0"/>
        <v>HAUFWERK</v>
      </c>
      <c r="G3" t="s">
        <v>449</v>
      </c>
      <c r="H3" s="12" t="s">
        <v>453</v>
      </c>
      <c r="I3" t="s">
        <v>449</v>
      </c>
      <c r="J3">
        <v>250</v>
      </c>
      <c r="K3" cm="1">
        <f t="array" ref="K3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f>
        <v>7</v>
      </c>
      <c r="L3" t="s">
        <v>217</v>
      </c>
      <c r="M3" t="s">
        <v>448</v>
      </c>
      <c r="N3" t="s">
        <v>454</v>
      </c>
      <c r="O3" s="12" t="s">
        <v>455</v>
      </c>
      <c r="P3" t="s">
        <v>222</v>
      </c>
      <c r="Q3" t="s">
        <v>267</v>
      </c>
    </row>
    <row r="4" spans="1:18" x14ac:dyDescent="0.25">
      <c r="A4" t="str">
        <f t="shared" ref="A4:A8" si="3">"SH"&amp;ROW()-1</f>
        <v>SH3</v>
      </c>
      <c r="B4" t="s">
        <v>1</v>
      </c>
      <c r="C4" t="s">
        <v>524</v>
      </c>
      <c r="D4" t="str">
        <f t="shared" si="2"/>
        <v>PIECE</v>
      </c>
      <c r="E4">
        <v>3</v>
      </c>
      <c r="F4" t="str">
        <f t="shared" ref="F4:F8" si="4">"HAUFWERK"</f>
        <v>HAUFWERK</v>
      </c>
      <c r="H4" s="12" t="s">
        <v>566</v>
      </c>
      <c r="I4" t="s">
        <v>456</v>
      </c>
      <c r="J4">
        <v>500</v>
      </c>
      <c r="K4" cm="1">
        <f t="array" ref="K4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f>
        <v>9</v>
      </c>
      <c r="L4" t="s">
        <v>234</v>
      </c>
      <c r="M4" t="s">
        <v>572</v>
      </c>
      <c r="N4" t="s">
        <v>308</v>
      </c>
      <c r="Q4" t="s">
        <v>254</v>
      </c>
    </row>
    <row r="5" spans="1:18" x14ac:dyDescent="0.25">
      <c r="A5" t="str">
        <f t="shared" si="3"/>
        <v>SH4</v>
      </c>
      <c r="B5" t="s">
        <v>563</v>
      </c>
      <c r="C5" t="s">
        <v>529</v>
      </c>
      <c r="D5" t="str">
        <f t="shared" si="2"/>
        <v>PIECE</v>
      </c>
      <c r="E5">
        <v>1</v>
      </c>
      <c r="F5" t="str">
        <f t="shared" si="4"/>
        <v>HAUFWERK</v>
      </c>
      <c r="H5" s="12" t="s">
        <v>567</v>
      </c>
      <c r="I5" t="s">
        <v>307</v>
      </c>
      <c r="J5">
        <v>600</v>
      </c>
      <c r="K5" cm="1">
        <f t="array" ref="K5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f>
        <v>10</v>
      </c>
      <c r="L5" t="s">
        <v>265</v>
      </c>
      <c r="M5" t="s">
        <v>551</v>
      </c>
      <c r="N5" t="s">
        <v>454</v>
      </c>
      <c r="Q5" t="s">
        <v>219</v>
      </c>
    </row>
    <row r="6" spans="1:18" x14ac:dyDescent="0.25">
      <c r="A6" t="str">
        <f t="shared" si="3"/>
        <v>SH5</v>
      </c>
      <c r="B6" t="s">
        <v>564</v>
      </c>
      <c r="C6" t="s">
        <v>534</v>
      </c>
      <c r="D6" t="str">
        <f t="shared" si="2"/>
        <v>PIECE</v>
      </c>
      <c r="E6">
        <v>1</v>
      </c>
      <c r="F6" t="str">
        <f t="shared" si="4"/>
        <v>HAUFWERK</v>
      </c>
      <c r="G6" t="s">
        <v>527</v>
      </c>
      <c r="H6" s="12" t="s">
        <v>568</v>
      </c>
      <c r="I6" t="s">
        <v>527</v>
      </c>
      <c r="J6">
        <v>751</v>
      </c>
      <c r="K6" cm="1">
        <f t="array" ref="K6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f>
        <v>12</v>
      </c>
      <c r="L6" t="s">
        <v>276</v>
      </c>
      <c r="M6" t="s">
        <v>573</v>
      </c>
      <c r="N6" t="s">
        <v>308</v>
      </c>
      <c r="P6" t="s">
        <v>193</v>
      </c>
      <c r="Q6" t="s">
        <v>254</v>
      </c>
    </row>
    <row r="7" spans="1:18" x14ac:dyDescent="0.25">
      <c r="A7" t="str">
        <f t="shared" si="3"/>
        <v>SH6</v>
      </c>
      <c r="B7" t="s">
        <v>564</v>
      </c>
      <c r="D7" t="str">
        <f t="shared" si="2"/>
        <v>PIECE</v>
      </c>
      <c r="E7">
        <v>2</v>
      </c>
      <c r="F7" t="str">
        <f t="shared" si="4"/>
        <v>HAUFWERK</v>
      </c>
      <c r="G7" t="s">
        <v>533</v>
      </c>
      <c r="H7" s="12" t="s">
        <v>569</v>
      </c>
      <c r="I7" t="s">
        <v>570</v>
      </c>
      <c r="J7">
        <v>800</v>
      </c>
      <c r="K7" cm="1">
        <f t="array" ref="K7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f>
        <v>12</v>
      </c>
      <c r="L7" t="s">
        <v>265</v>
      </c>
      <c r="M7" t="s">
        <v>574</v>
      </c>
      <c r="N7" t="s">
        <v>454</v>
      </c>
      <c r="Q7" t="s">
        <v>267</v>
      </c>
    </row>
    <row r="8" spans="1:18" x14ac:dyDescent="0.25">
      <c r="A8" t="str">
        <f t="shared" si="3"/>
        <v>SH7</v>
      </c>
      <c r="B8" t="s">
        <v>565</v>
      </c>
      <c r="C8" t="s">
        <v>531</v>
      </c>
      <c r="D8" t="str">
        <f t="shared" si="2"/>
        <v>PIECE</v>
      </c>
      <c r="E8">
        <v>1</v>
      </c>
      <c r="F8" t="str">
        <f t="shared" si="4"/>
        <v>HAUFWERK</v>
      </c>
      <c r="G8" t="s">
        <v>264</v>
      </c>
      <c r="H8" s="12" t="s">
        <v>571</v>
      </c>
      <c r="I8" t="s">
        <v>570</v>
      </c>
      <c r="J8">
        <v>21</v>
      </c>
      <c r="K8" cm="1">
        <f t="array" ref="K8">_xlfn.IFS(ISBLANK(Haufwerk.Sample.Table[[#This Row],[VOLUMEN]]),"",Haufwerk.Sample.Table[[#This Row],[VOLUMEN]]&lt;=30,2,Haufwerk.Sample.Table[[#This Row],[VOLUMEN]]&lt;=60,3,Haufwerk.Sample.Table[[#This Row],[VOLUMEN]]&lt;=100,4,Haufwerk.Sample.Table[[#This Row],[VOLUMEN]]&lt;=150,5,Haufwerk.Sample.Table[[#This Row],[VOLUMEN]]&lt;=200,6,Haufwerk.Sample.Table[[#This Row],[VOLUMEN]]&lt;=300,7,Haufwerk.Sample.Table[[#This Row],[VOLUMEN]]&lt;=400,8,Haufwerk.Sample.Table[[#This Row],[VOLUMEN]]&lt;=500,9,Haufwerk.Sample.Table[[#This Row],[VOLUMEN]]&lt;=600,10,Haufwerk.Sample.Table[[#This Row],[VOLUMEN]]&lt;=700,11,Haufwerk.Sample.Table[[#This Row],[VOLUMEN]]&lt;=800,12,Haufwerk.Sample.Table[[#This Row],[VOLUMEN]]&lt;=900,13,Haufwerk.Sample.Table[[#This Row],[VOLUMEN]]&lt;=1000,14,Haufwerk.Sample.Table[[#This Row],[VOLUMEN]]&lt;=1100,15,Haufwerk.Sample.Table[[#This Row],[VOLUMEN]]&lt;=1200,16)</f>
        <v>2</v>
      </c>
      <c r="L8" t="s">
        <v>252</v>
      </c>
      <c r="M8" t="s">
        <v>552</v>
      </c>
      <c r="N8" t="s">
        <v>308</v>
      </c>
      <c r="P8" t="s">
        <v>222</v>
      </c>
      <c r="Q8" t="s">
        <v>219</v>
      </c>
    </row>
  </sheetData>
  <phoneticPr fontId="1" type="noConversion"/>
  <dataValidations count="10">
    <dataValidation allowBlank="1" showInputMessage="1" showErrorMessage="1" errorTitle="Falscher Aufschluss!" error="Bitte wählen Sie einen Aufschluss aus der Liste." promptTitle="Aufschluss" prompt="Bitte wählen sie einen Aufschluss aus der Liste." sqref="F1" xr:uid="{26934A02-ECC8-433F-9D85-7066244DF5B7}"/>
    <dataValidation errorStyle="warning" allowBlank="1" showInputMessage="1" showErrorMessage="1" errorTitle="Achtung!" error="Möglicherweise fehlerhaftes Behältnis." promptTitle="Behältnis" prompt="Bitte wählen Sie eines der Behältnisse!" sqref="L1:N1" xr:uid="{3CCB9401-072C-4901-A699-44B9159849DC}"/>
    <dataValidation errorStyle="information" allowBlank="1" showInputMessage="1" showErrorMessage="1" errorTitle="Achtung!" error="Diese Bodenart ist nicht in der Liste vorhanden." promptTitle="Bodenart" prompt="Bitte wählen sie eine Bodenart aus der Liste." sqref="Q1" xr:uid="{AACF19FE-E026-4D3C-A8E2-FCBD2E1EC77B}"/>
    <dataValidation allowBlank="1" showInputMessage="1" showErrorMessage="1" errorTitle="Fehler!" error="Ungültige Eingabe." promptTitle="Pechnachweis" prompt="Wählen Sie aus der Liste aus." sqref="P1" xr:uid="{12FEE02B-43EA-4EA0-A642-F66708093086}"/>
    <dataValidation type="list" allowBlank="1" showInputMessage="1" showErrorMessage="1" sqref="C14:C1048576" xr:uid="{2FAB030A-9A7B-40B2-843D-CFB924A9FB4A}">
      <formula1>CHEMIE_ID</formula1>
    </dataValidation>
    <dataValidation type="list" allowBlank="1" showInputMessage="1" showErrorMessage="1" sqref="C2:C8" xr:uid="{095FD25A-C950-4F4E-BD0F-DA5AB8537C8B}">
      <formula1>CHEMIE_ID_GEB</formula1>
    </dataValidation>
    <dataValidation type="list" errorStyle="warning" allowBlank="1" showInputMessage="1" showErrorMessage="1" errorTitle="Achtung!" error="Möglicherweise fehlerhaftes Behältnis." promptTitle="Behältnis" prompt="Bitte wählen Sie eines der Behältnisse!" sqref="L2:L1048576" xr:uid="{18B2E131-51A6-4ABB-BFEB-AA0298F02E99}">
      <formula1>BEHAELTNIS_AUSWAHL</formula1>
    </dataValidation>
    <dataValidation type="list" errorStyle="information" allowBlank="1" showInputMessage="1" showErrorMessage="1" errorTitle="Achtung!" error="Diese Bodenart ist nicht in der Liste vorhanden." promptTitle="Bodenart" prompt="Bitte wählen sie eine Bodenart aus der Liste." sqref="Q2:Q1048576" xr:uid="{C46046F0-F2F8-4F85-B076-A1D1994B0563}">
      <formula1>BODENART_AUSWAHL</formula1>
    </dataValidation>
    <dataValidation type="list" allowBlank="1" showInputMessage="1" showErrorMessage="1" errorTitle="Fehler!" error="Ungültige Eingabe." promptTitle="Pechnachweis" prompt="Wählen Sie aus der Liste aus." sqref="P2:P1048576" xr:uid="{939378C6-BF5D-420E-B5BA-343FE0302B3D}">
      <formula1>JA_NEIN_AUSWAHL</formula1>
    </dataValidation>
    <dataValidation type="list" allowBlank="1" showInputMessage="1" showErrorMessage="1" sqref="B2:B1048576" xr:uid="{5F95BD5F-72B8-479A-89B0-6D0501631172}">
      <formula1>HAUFWERK_ID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87BD-2A7F-4D3E-8E6A-5DC4630880B6}">
  <sheetPr>
    <tabColor rgb="FF8D097A"/>
  </sheetPr>
  <dimension ref="A1:L29"/>
  <sheetViews>
    <sheetView workbookViewId="0">
      <selection activeCell="I20" sqref="I20"/>
    </sheetView>
  </sheetViews>
  <sheetFormatPr baseColWidth="10" defaultColWidth="11.42578125" defaultRowHeight="15" x14ac:dyDescent="0.25"/>
  <cols>
    <col min="1" max="1" width="5.140625" bestFit="1" customWidth="1"/>
    <col min="2" max="2" width="10.42578125" customWidth="1"/>
    <col min="3" max="3" width="12" bestFit="1" customWidth="1"/>
    <col min="4" max="4" width="17.28515625" customWidth="1"/>
    <col min="5" max="5" width="18.7109375" customWidth="1"/>
    <col min="6" max="6" width="21.140625" bestFit="1" customWidth="1"/>
    <col min="7" max="7" width="18.140625" customWidth="1"/>
    <col min="8" max="8" width="27.42578125" customWidth="1"/>
    <col min="9" max="9" width="20" customWidth="1"/>
    <col min="10" max="10" width="17.140625" customWidth="1"/>
    <col min="11" max="11" width="19.42578125" customWidth="1"/>
    <col min="12" max="12" width="22.28515625" customWidth="1"/>
  </cols>
  <sheetData>
    <row r="1" spans="1:12" x14ac:dyDescent="0.25">
      <c r="A1" s="13" t="s">
        <v>9</v>
      </c>
      <c r="B1" s="13" t="s">
        <v>473</v>
      </c>
      <c r="C1" s="13" t="s">
        <v>10</v>
      </c>
      <c r="D1" s="14" t="s">
        <v>11</v>
      </c>
      <c r="E1" s="13" t="s">
        <v>14</v>
      </c>
      <c r="F1" s="13" t="s">
        <v>48</v>
      </c>
      <c r="G1" s="13" t="s">
        <v>49</v>
      </c>
      <c r="H1" s="13" t="s">
        <v>50</v>
      </c>
      <c r="I1" s="13" t="s">
        <v>303</v>
      </c>
      <c r="J1" s="13" t="s">
        <v>51</v>
      </c>
      <c r="K1" s="13" t="s">
        <v>52</v>
      </c>
      <c r="L1" s="13" t="s">
        <v>53</v>
      </c>
    </row>
    <row r="2" spans="1:12" x14ac:dyDescent="0.25">
      <c r="A2" t="s">
        <v>451</v>
      </c>
      <c r="B2" t="str">
        <f t="shared" ref="B2:B3" si="0">"BUILDING"</f>
        <v>BUILDING</v>
      </c>
      <c r="C2">
        <v>0</v>
      </c>
      <c r="D2" s="10"/>
    </row>
    <row r="3" spans="1:12" x14ac:dyDescent="0.25">
      <c r="A3" t="s">
        <v>2</v>
      </c>
      <c r="B3" t="str">
        <f t="shared" si="0"/>
        <v>BUILDING</v>
      </c>
      <c r="C3">
        <v>1</v>
      </c>
      <c r="D3" s="10">
        <v>44165</v>
      </c>
      <c r="E3" t="s">
        <v>357</v>
      </c>
      <c r="F3" t="s">
        <v>299</v>
      </c>
      <c r="H3" t="s">
        <v>358</v>
      </c>
      <c r="I3" t="s">
        <v>357</v>
      </c>
      <c r="J3" t="s">
        <v>359</v>
      </c>
      <c r="L3" t="s">
        <v>450</v>
      </c>
    </row>
    <row r="4" spans="1:12" x14ac:dyDescent="0.25">
      <c r="A4" t="s">
        <v>575</v>
      </c>
      <c r="B4" t="str">
        <f t="shared" ref="B4:B12" si="1">"BUILDING"</f>
        <v>BUILDING</v>
      </c>
      <c r="C4">
        <v>2</v>
      </c>
      <c r="D4" s="10">
        <v>44165</v>
      </c>
      <c r="E4" t="s">
        <v>357</v>
      </c>
      <c r="F4" t="s">
        <v>299</v>
      </c>
      <c r="H4" t="s">
        <v>358</v>
      </c>
      <c r="I4" t="s">
        <v>357</v>
      </c>
      <c r="J4" t="s">
        <v>359</v>
      </c>
      <c r="L4" t="s">
        <v>584</v>
      </c>
    </row>
    <row r="5" spans="1:12" x14ac:dyDescent="0.25">
      <c r="A5" t="s">
        <v>576</v>
      </c>
      <c r="B5" t="str">
        <f t="shared" si="1"/>
        <v>BUILDING</v>
      </c>
      <c r="C5">
        <v>3</v>
      </c>
      <c r="D5" s="10">
        <v>44165</v>
      </c>
      <c r="E5" t="s">
        <v>585</v>
      </c>
      <c r="F5" t="s">
        <v>360</v>
      </c>
      <c r="H5" t="s">
        <v>358</v>
      </c>
      <c r="I5" t="s">
        <v>357</v>
      </c>
      <c r="J5" t="s">
        <v>359</v>
      </c>
      <c r="L5" t="s">
        <v>586</v>
      </c>
    </row>
    <row r="6" spans="1:12" x14ac:dyDescent="0.25">
      <c r="A6" t="s">
        <v>577</v>
      </c>
      <c r="B6" t="str">
        <f t="shared" si="1"/>
        <v>BUILDING</v>
      </c>
      <c r="C6">
        <v>4</v>
      </c>
      <c r="D6" s="10">
        <v>44165</v>
      </c>
      <c r="E6" t="s">
        <v>585</v>
      </c>
      <c r="F6" t="s">
        <v>361</v>
      </c>
      <c r="H6" t="s">
        <v>358</v>
      </c>
      <c r="I6" t="s">
        <v>357</v>
      </c>
      <c r="J6" t="s">
        <v>359</v>
      </c>
      <c r="L6" t="s">
        <v>586</v>
      </c>
    </row>
    <row r="7" spans="1:12" x14ac:dyDescent="0.25">
      <c r="A7" t="s">
        <v>578</v>
      </c>
      <c r="B7" t="str">
        <f t="shared" si="1"/>
        <v>BUILDING</v>
      </c>
      <c r="C7">
        <v>5</v>
      </c>
      <c r="D7" s="10">
        <v>44165</v>
      </c>
      <c r="E7" t="s">
        <v>587</v>
      </c>
      <c r="F7" t="s">
        <v>360</v>
      </c>
      <c r="H7" t="s">
        <v>358</v>
      </c>
      <c r="J7" t="s">
        <v>359</v>
      </c>
      <c r="L7" t="s">
        <v>586</v>
      </c>
    </row>
    <row r="8" spans="1:12" x14ac:dyDescent="0.25">
      <c r="A8" t="s">
        <v>579</v>
      </c>
      <c r="B8" t="str">
        <f t="shared" si="1"/>
        <v>BUILDING</v>
      </c>
      <c r="C8">
        <v>6</v>
      </c>
      <c r="D8" s="10">
        <v>44165</v>
      </c>
      <c r="E8" t="s">
        <v>362</v>
      </c>
      <c r="F8" t="s">
        <v>299</v>
      </c>
      <c r="G8" t="s">
        <v>588</v>
      </c>
      <c r="H8" t="s">
        <v>358</v>
      </c>
      <c r="J8" t="s">
        <v>363</v>
      </c>
      <c r="K8">
        <v>220</v>
      </c>
      <c r="L8" t="s">
        <v>589</v>
      </c>
    </row>
    <row r="9" spans="1:12" x14ac:dyDescent="0.25">
      <c r="A9" t="s">
        <v>580</v>
      </c>
      <c r="B9" t="str">
        <f t="shared" si="1"/>
        <v>BUILDING</v>
      </c>
      <c r="C9">
        <v>7</v>
      </c>
      <c r="D9" s="10">
        <v>44165</v>
      </c>
      <c r="E9" t="s">
        <v>364</v>
      </c>
      <c r="F9" t="s">
        <v>299</v>
      </c>
      <c r="H9" t="s">
        <v>358</v>
      </c>
      <c r="J9" t="s">
        <v>363</v>
      </c>
      <c r="K9">
        <v>220</v>
      </c>
      <c r="L9" t="s">
        <v>450</v>
      </c>
    </row>
    <row r="10" spans="1:12" x14ac:dyDescent="0.25">
      <c r="A10" t="s">
        <v>581</v>
      </c>
      <c r="B10" t="str">
        <f t="shared" si="1"/>
        <v>BUILDING</v>
      </c>
      <c r="C10">
        <v>8</v>
      </c>
      <c r="D10" s="10">
        <v>44165</v>
      </c>
      <c r="E10" t="s">
        <v>362</v>
      </c>
      <c r="F10" t="s">
        <v>361</v>
      </c>
      <c r="G10" t="s">
        <v>588</v>
      </c>
      <c r="H10" t="s">
        <v>358</v>
      </c>
      <c r="J10" t="s">
        <v>363</v>
      </c>
      <c r="K10">
        <v>218</v>
      </c>
      <c r="L10" t="s">
        <v>590</v>
      </c>
    </row>
    <row r="11" spans="1:12" x14ac:dyDescent="0.25">
      <c r="A11" t="s">
        <v>582</v>
      </c>
      <c r="B11" t="str">
        <f t="shared" si="1"/>
        <v>BUILDING</v>
      </c>
      <c r="C11">
        <v>9</v>
      </c>
      <c r="D11" s="10">
        <v>44165</v>
      </c>
      <c r="E11" t="s">
        <v>365</v>
      </c>
      <c r="F11" t="s">
        <v>299</v>
      </c>
      <c r="H11" t="s">
        <v>358</v>
      </c>
      <c r="J11" t="s">
        <v>363</v>
      </c>
      <c r="K11" t="s">
        <v>591</v>
      </c>
      <c r="L11" t="s">
        <v>590</v>
      </c>
    </row>
    <row r="12" spans="1:12" x14ac:dyDescent="0.25">
      <c r="A12" t="s">
        <v>583</v>
      </c>
      <c r="B12" t="str">
        <f t="shared" si="1"/>
        <v>BUILDING</v>
      </c>
      <c r="C12">
        <v>10</v>
      </c>
      <c r="D12" s="10">
        <v>44165</v>
      </c>
      <c r="E12" t="s">
        <v>362</v>
      </c>
      <c r="F12" t="s">
        <v>299</v>
      </c>
      <c r="H12" t="s">
        <v>358</v>
      </c>
      <c r="J12" t="s">
        <v>363</v>
      </c>
      <c r="K12" t="s">
        <v>591</v>
      </c>
      <c r="L12" t="s">
        <v>592</v>
      </c>
    </row>
    <row r="13" spans="1:12" x14ac:dyDescent="0.25">
      <c r="D13" s="10"/>
    </row>
    <row r="14" spans="1:12" x14ac:dyDescent="0.25">
      <c r="D14" s="10"/>
    </row>
    <row r="15" spans="1:12" x14ac:dyDescent="0.25">
      <c r="D15" s="10"/>
    </row>
    <row r="16" spans="1:12" x14ac:dyDescent="0.25">
      <c r="D16" s="10"/>
    </row>
    <row r="17" spans="4:4" x14ac:dyDescent="0.25">
      <c r="D17" s="10"/>
    </row>
    <row r="18" spans="4:4" x14ac:dyDescent="0.25">
      <c r="D18" s="10"/>
    </row>
    <row r="19" spans="4:4" x14ac:dyDescent="0.25">
      <c r="D19" s="10"/>
    </row>
    <row r="20" spans="4:4" x14ac:dyDescent="0.25">
      <c r="D20" s="10"/>
    </row>
    <row r="21" spans="4:4" x14ac:dyDescent="0.25">
      <c r="D21" s="10"/>
    </row>
    <row r="22" spans="4:4" x14ac:dyDescent="0.25">
      <c r="D22" s="10"/>
    </row>
    <row r="23" spans="4:4" x14ac:dyDescent="0.25">
      <c r="D23" s="10"/>
    </row>
    <row r="24" spans="4:4" x14ac:dyDescent="0.25">
      <c r="D24" s="10"/>
    </row>
    <row r="25" spans="4:4" x14ac:dyDescent="0.25">
      <c r="D25" s="10"/>
    </row>
    <row r="26" spans="4:4" x14ac:dyDescent="0.25">
      <c r="D26" s="10"/>
    </row>
    <row r="27" spans="4:4" x14ac:dyDescent="0.25">
      <c r="D27" s="10"/>
    </row>
    <row r="28" spans="4:4" x14ac:dyDescent="0.25">
      <c r="D28" s="10"/>
    </row>
    <row r="29" spans="4:4" x14ac:dyDescent="0.25">
      <c r="D29" s="10"/>
    </row>
  </sheetData>
  <dataValidations count="12">
    <dataValidation allowBlank="1" showInputMessage="1" sqref="L1 G1 J1" xr:uid="{2D725EF5-1D40-4DDD-998A-BAD453A70FE1}"/>
    <dataValidation errorStyle="information" allowBlank="1" showInputMessage="1" sqref="E1:F1" xr:uid="{57E1D220-ACC5-49E2-A1E1-7639A34D542F}"/>
    <dataValidation type="list" allowBlank="1" showInputMessage="1" sqref="L22:L1048576" xr:uid="{8CDCC3CC-8229-4BFD-8817-7A9A8D721E9D}">
      <formula1>ENTNAHME_AUSWAHL</formula1>
    </dataValidation>
    <dataValidation type="list" errorStyle="information" allowBlank="1" showInputMessage="1" sqref="E22:E1048576" xr:uid="{4C14746D-B56B-48AD-917E-4755FBBF5E40}">
      <formula1>GEBAUDE_BAUTEIL_AUSWAHL</formula1>
    </dataValidation>
    <dataValidation type="list" errorStyle="information" allowBlank="1" showInputMessage="1" sqref="F22:F1048576" xr:uid="{2E1B5F08-DC20-4E81-975A-BE01EA3F3CFD}">
      <formula1>GEBAUDE_CHARAKTER_AUSWAHL</formula1>
    </dataValidation>
    <dataValidation type="list" allowBlank="1" showInputMessage="1" sqref="G22:G1048576" xr:uid="{32892F23-B6B8-4D8B-9360-D2764F4A32C0}">
      <formula1>GEBAUDE_GERUCH_AUSWAHL</formula1>
    </dataValidation>
    <dataValidation type="list" allowBlank="1" showInputMessage="1" sqref="J22:J1048576" xr:uid="{915EE2A1-55E0-4768-84A3-03ABEC565053}">
      <formula1>ETAGEN_AUSWAHL</formula1>
    </dataValidation>
    <dataValidation type="list" allowBlank="1" showInputMessage="1" showErrorMessage="1" sqref="L3:L21" xr:uid="{D22D0BD7-C6FC-4E8C-8CED-77F2D9EDEF9D}">
      <formula1>ENTNAHME_AUSWAHL</formula1>
    </dataValidation>
    <dataValidation type="list" allowBlank="1" showInputMessage="1" showErrorMessage="1" sqref="J3:J21" xr:uid="{F2ACDFCA-3B40-46C0-BCC3-2474FBA54753}">
      <formula1>ETAGEN_AUSWAHL</formula1>
    </dataValidation>
    <dataValidation type="list" allowBlank="1" showInputMessage="1" showErrorMessage="1" sqref="G3:G21" xr:uid="{8CE29388-AFC8-42B9-ADB4-8138C8390CE8}">
      <formula1>GEBAUDE_GERUCH_AUSWAHL</formula1>
    </dataValidation>
    <dataValidation type="list" allowBlank="1" showInputMessage="1" showErrorMessage="1" sqref="F3:F21" xr:uid="{A74925F9-6FC3-4F89-A933-0CB5DF70FBB6}">
      <formula1>GEBAUDE_CHARAKTER_AUSWAHL</formula1>
    </dataValidation>
    <dataValidation type="list" allowBlank="1" showInputMessage="1" showErrorMessage="1" sqref="E3:E21" xr:uid="{E7C75973-479E-4DF9-B3AF-FBB4C4B3FFE5}">
      <formula1>GEBAUDE_BAUTEIL_AUSWAHL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7FB0-A156-4F4D-839B-A7DE33119791}">
  <sheetPr>
    <tabColor rgb="FF8D097A"/>
  </sheetPr>
  <dimension ref="A1:P32"/>
  <sheetViews>
    <sheetView topLeftCell="B1" workbookViewId="0">
      <selection activeCell="B29" sqref="B29"/>
    </sheetView>
  </sheetViews>
  <sheetFormatPr baseColWidth="10" defaultColWidth="9.140625" defaultRowHeight="15" x14ac:dyDescent="0.25"/>
  <cols>
    <col min="1" max="1" width="5.140625" hidden="1" customWidth="1"/>
    <col min="2" max="2" width="11.42578125" customWidth="1"/>
    <col min="3" max="3" width="15.7109375" customWidth="1"/>
    <col min="4" max="4" width="8.7109375" customWidth="1"/>
    <col min="5" max="5" width="11.85546875" customWidth="1"/>
    <col min="6" max="6" width="14.5703125" customWidth="1"/>
    <col min="7" max="7" width="12.140625" customWidth="1"/>
    <col min="8" max="8" width="8.7109375" customWidth="1"/>
    <col min="9" max="9" width="8.28515625" customWidth="1"/>
    <col min="10" max="10" width="14.140625" customWidth="1"/>
    <col min="11" max="12" width="13.42578125" customWidth="1"/>
    <col min="13" max="13" width="22.85546875" customWidth="1"/>
    <col min="14" max="14" width="24" customWidth="1"/>
    <col min="15" max="15" width="30.140625" customWidth="1"/>
    <col min="16" max="16" width="29.42578125" customWidth="1"/>
  </cols>
  <sheetData>
    <row r="1" spans="1:16" ht="15.75" thickBot="1" x14ac:dyDescent="0.3">
      <c r="A1" s="28" t="s">
        <v>9</v>
      </c>
      <c r="B1" s="26" t="s">
        <v>15</v>
      </c>
      <c r="C1" s="27" t="s">
        <v>21</v>
      </c>
      <c r="D1" s="28" t="s">
        <v>473</v>
      </c>
      <c r="E1" s="28" t="s">
        <v>10</v>
      </c>
      <c r="F1" s="28" t="s">
        <v>77</v>
      </c>
      <c r="G1" s="28" t="s">
        <v>101</v>
      </c>
      <c r="H1" s="28" t="s">
        <v>87</v>
      </c>
      <c r="I1" s="28" t="s">
        <v>81</v>
      </c>
      <c r="J1" s="28" t="s">
        <v>82</v>
      </c>
      <c r="K1" s="28" t="s">
        <v>83</v>
      </c>
      <c r="L1" s="28" t="s">
        <v>53</v>
      </c>
      <c r="M1" s="28" t="s">
        <v>438</v>
      </c>
      <c r="N1" s="28" t="s">
        <v>104</v>
      </c>
      <c r="O1" s="29" t="s">
        <v>105</v>
      </c>
      <c r="P1" s="27" t="s">
        <v>305</v>
      </c>
    </row>
    <row r="2" spans="1:16" x14ac:dyDescent="0.25">
      <c r="A2" t="str">
        <f t="shared" ref="A2:A3" si="0">"SB"&amp;ROW()-1</f>
        <v>SB1</v>
      </c>
      <c r="B2" s="30" t="s">
        <v>451</v>
      </c>
      <c r="C2" s="30"/>
      <c r="D2" t="str">
        <f t="shared" ref="D2:D3" si="1">"LAYER"</f>
        <v>LAYER</v>
      </c>
      <c r="E2" s="30">
        <v>1</v>
      </c>
      <c r="F2" t="str">
        <f t="shared" ref="F2:F3" si="2">"GEBAEUDE"</f>
        <v>GEBAEUDE</v>
      </c>
      <c r="G2" s="30"/>
      <c r="H2" s="30"/>
      <c r="I2" s="30"/>
      <c r="J2">
        <f ca="1">Gebaeude.Sample.Table[[#This Row],[TIEFE_ENDE]]-Gebaeude.Sample.Table[[#This Row],[DICKE]]</f>
        <v>0</v>
      </c>
      <c r="K2" cm="1">
        <f t="array" aca="1" ref="K2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0</v>
      </c>
      <c r="L2" s="30"/>
      <c r="M2" s="30"/>
      <c r="N2" s="30"/>
      <c r="O2" s="31"/>
      <c r="P2" s="30"/>
    </row>
    <row r="3" spans="1:16" x14ac:dyDescent="0.25">
      <c r="A3" t="str">
        <f t="shared" si="0"/>
        <v>SB2</v>
      </c>
      <c r="B3" s="30" t="s">
        <v>2</v>
      </c>
      <c r="C3" s="30" t="s">
        <v>3</v>
      </c>
      <c r="D3" t="str">
        <f t="shared" si="1"/>
        <v>LAYER</v>
      </c>
      <c r="E3" s="30">
        <v>1</v>
      </c>
      <c r="F3" t="str">
        <f t="shared" si="2"/>
        <v>GEBAEUDE</v>
      </c>
      <c r="G3" s="30" t="s">
        <v>597</v>
      </c>
      <c r="H3" s="30" t="s">
        <v>574</v>
      </c>
      <c r="I3" s="30">
        <v>8</v>
      </c>
      <c r="J3">
        <f ca="1">Gebaeude.Sample.Table[[#This Row],[TIEFE_ENDE]]-Gebaeude.Sample.Table[[#This Row],[DICKE]]</f>
        <v>0</v>
      </c>
      <c r="K3" cm="1">
        <f t="array" aca="1" ref="K3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8</v>
      </c>
      <c r="L3" s="30" t="s">
        <v>222</v>
      </c>
      <c r="M3" s="30"/>
      <c r="N3" s="30" t="s">
        <v>625</v>
      </c>
      <c r="O3" s="31" t="s">
        <v>626</v>
      </c>
      <c r="P3" s="30"/>
    </row>
    <row r="4" spans="1:16" x14ac:dyDescent="0.25">
      <c r="A4" t="str">
        <f t="shared" ref="A4:A32" si="3">"SB"&amp;ROW()-1</f>
        <v>SB3</v>
      </c>
      <c r="B4" s="30" t="s">
        <v>2</v>
      </c>
      <c r="C4" s="30" t="s">
        <v>3</v>
      </c>
      <c r="D4" t="str">
        <f t="shared" ref="D4:D32" si="4">"LAYER"</f>
        <v>LAYER</v>
      </c>
      <c r="E4" s="30">
        <v>2</v>
      </c>
      <c r="F4" t="str">
        <f t="shared" ref="F4:F32" si="5">"GEBAEUDE"</f>
        <v>GEBAEUDE</v>
      </c>
      <c r="G4" s="30" t="s">
        <v>598</v>
      </c>
      <c r="H4" s="30" t="s">
        <v>552</v>
      </c>
      <c r="I4" s="30"/>
      <c r="J4" t="e">
        <f ca="1">Gebaeude.Sample.Table[[#This Row],[TIEFE_ENDE]]-Gebaeude.Sample.Table[[#This Row],[DICKE]]</f>
        <v>#VALUE!</v>
      </c>
      <c r="K4" t="e" cm="1">
        <f t="array" aca="1" ref="K4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4" s="30" t="s">
        <v>193</v>
      </c>
      <c r="M4" s="30"/>
      <c r="N4" s="30"/>
      <c r="O4" s="31"/>
      <c r="P4" s="32"/>
    </row>
    <row r="5" spans="1:16" x14ac:dyDescent="0.25">
      <c r="A5" t="str">
        <f t="shared" si="3"/>
        <v>SB4</v>
      </c>
      <c r="B5" s="30" t="s">
        <v>575</v>
      </c>
      <c r="C5" s="30" t="s">
        <v>524</v>
      </c>
      <c r="D5" t="str">
        <f t="shared" si="4"/>
        <v>LAYER</v>
      </c>
      <c r="E5" s="30">
        <v>1</v>
      </c>
      <c r="F5" t="str">
        <f t="shared" si="5"/>
        <v>GEBAEUDE</v>
      </c>
      <c r="G5" s="30" t="s">
        <v>599</v>
      </c>
      <c r="H5" s="30" t="s">
        <v>600</v>
      </c>
      <c r="I5" s="30">
        <v>0.5</v>
      </c>
      <c r="J5">
        <f ca="1">Gebaeude.Sample.Table[[#This Row],[TIEFE_ENDE]]-Gebaeude.Sample.Table[[#This Row],[DICKE]]</f>
        <v>0</v>
      </c>
      <c r="K5" cm="1">
        <f t="array" aca="1" ref="K5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0.5</v>
      </c>
      <c r="L5" s="30" t="s">
        <v>222</v>
      </c>
      <c r="M5" s="30"/>
      <c r="N5" s="30" t="s">
        <v>85</v>
      </c>
      <c r="O5" s="31" t="s">
        <v>366</v>
      </c>
      <c r="P5" s="32"/>
    </row>
    <row r="6" spans="1:16" x14ac:dyDescent="0.25">
      <c r="A6" t="str">
        <f t="shared" si="3"/>
        <v>SB5</v>
      </c>
      <c r="B6" s="30" t="s">
        <v>575</v>
      </c>
      <c r="C6" s="30" t="s">
        <v>526</v>
      </c>
      <c r="D6" t="str">
        <f t="shared" si="4"/>
        <v>LAYER</v>
      </c>
      <c r="E6" s="30">
        <v>2</v>
      </c>
      <c r="F6" t="str">
        <f t="shared" si="5"/>
        <v>GEBAEUDE</v>
      </c>
      <c r="G6" s="30" t="s">
        <v>598</v>
      </c>
      <c r="H6" s="30" t="s">
        <v>552</v>
      </c>
      <c r="I6" s="30">
        <v>0.5</v>
      </c>
      <c r="J6" t="e">
        <f ca="1">Gebaeude.Sample.Table[[#This Row],[TIEFE_ENDE]]-Gebaeude.Sample.Table[[#This Row],[DICKE]]</f>
        <v>#VALUE!</v>
      </c>
      <c r="K6" t="e" cm="1">
        <f t="array" aca="1" ref="K6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6" s="30" t="s">
        <v>222</v>
      </c>
      <c r="M6" s="30"/>
      <c r="N6" s="30" t="s">
        <v>627</v>
      </c>
      <c r="O6" s="31" t="s">
        <v>366</v>
      </c>
      <c r="P6" s="32"/>
    </row>
    <row r="7" spans="1:16" x14ac:dyDescent="0.25">
      <c r="A7" t="str">
        <f t="shared" si="3"/>
        <v>SB6</v>
      </c>
      <c r="B7" s="30" t="s">
        <v>575</v>
      </c>
      <c r="C7" s="30"/>
      <c r="D7" t="str">
        <f t="shared" si="4"/>
        <v>LAYER</v>
      </c>
      <c r="E7" s="30">
        <v>3</v>
      </c>
      <c r="F7" t="str">
        <f t="shared" si="5"/>
        <v>GEBAEUDE</v>
      </c>
      <c r="G7" s="30" t="s">
        <v>601</v>
      </c>
      <c r="H7" s="30" t="s">
        <v>448</v>
      </c>
      <c r="I7" s="30">
        <v>4</v>
      </c>
      <c r="J7" t="e">
        <f ca="1">Gebaeude.Sample.Table[[#This Row],[TIEFE_ENDE]]-Gebaeude.Sample.Table[[#This Row],[DICKE]]</f>
        <v>#VALUE!</v>
      </c>
      <c r="K7" t="e" cm="1">
        <f t="array" aca="1" ref="K7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7" s="30" t="s">
        <v>222</v>
      </c>
      <c r="M7" s="30"/>
      <c r="N7" s="30"/>
      <c r="O7" s="31" t="s">
        <v>628</v>
      </c>
      <c r="P7" s="32"/>
    </row>
    <row r="8" spans="1:16" x14ac:dyDescent="0.25">
      <c r="A8" t="str">
        <f t="shared" si="3"/>
        <v>SB7</v>
      </c>
      <c r="B8" s="30" t="s">
        <v>575</v>
      </c>
      <c r="C8" s="30"/>
      <c r="D8" t="str">
        <f t="shared" si="4"/>
        <v>LAYER</v>
      </c>
      <c r="E8" s="30">
        <v>4</v>
      </c>
      <c r="F8" t="str">
        <f t="shared" si="5"/>
        <v>GEBAEUDE</v>
      </c>
      <c r="G8" s="30" t="s">
        <v>602</v>
      </c>
      <c r="H8" s="30" t="s">
        <v>552</v>
      </c>
      <c r="I8" s="30">
        <v>0.2</v>
      </c>
      <c r="J8" t="e">
        <f ca="1">Gebaeude.Sample.Table[[#This Row],[TIEFE_ENDE]]-Gebaeude.Sample.Table[[#This Row],[DICKE]]</f>
        <v>#VALUE!</v>
      </c>
      <c r="K8" t="e" cm="1">
        <f t="array" aca="1" ref="K8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8" s="30" t="s">
        <v>222</v>
      </c>
      <c r="M8" s="30" t="s">
        <v>629</v>
      </c>
      <c r="N8" s="30"/>
      <c r="O8" s="31" t="s">
        <v>366</v>
      </c>
      <c r="P8" s="32"/>
    </row>
    <row r="9" spans="1:16" x14ac:dyDescent="0.25">
      <c r="A9" t="str">
        <f t="shared" si="3"/>
        <v>SB8</v>
      </c>
      <c r="B9" s="30" t="s">
        <v>575</v>
      </c>
      <c r="C9" s="30"/>
      <c r="D9" t="str">
        <f t="shared" si="4"/>
        <v>LAYER</v>
      </c>
      <c r="E9" s="30">
        <v>5</v>
      </c>
      <c r="F9" t="str">
        <f t="shared" si="5"/>
        <v>GEBAEUDE</v>
      </c>
      <c r="G9" s="30" t="s">
        <v>603</v>
      </c>
      <c r="H9" s="30"/>
      <c r="I9" s="30">
        <v>0.6</v>
      </c>
      <c r="J9" t="e">
        <f ca="1">Gebaeude.Sample.Table[[#This Row],[TIEFE_ENDE]]-Gebaeude.Sample.Table[[#This Row],[DICKE]]</f>
        <v>#VALUE!</v>
      </c>
      <c r="K9" t="e" cm="1">
        <f t="array" aca="1" ref="K9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9" s="30"/>
      <c r="M9" s="30"/>
      <c r="N9" s="30"/>
      <c r="O9" s="31"/>
      <c r="P9" s="32"/>
    </row>
    <row r="10" spans="1:16" x14ac:dyDescent="0.25">
      <c r="A10" t="str">
        <f t="shared" si="3"/>
        <v>SB9</v>
      </c>
      <c r="B10" s="30" t="s">
        <v>575</v>
      </c>
      <c r="C10" s="30"/>
      <c r="D10" t="str">
        <f t="shared" si="4"/>
        <v>LAYER</v>
      </c>
      <c r="E10" s="30">
        <v>6</v>
      </c>
      <c r="F10" t="str">
        <f t="shared" si="5"/>
        <v>GEBAEUDE</v>
      </c>
      <c r="G10" s="30" t="s">
        <v>604</v>
      </c>
      <c r="H10" s="30" t="s">
        <v>572</v>
      </c>
      <c r="I10" s="30"/>
      <c r="J10" t="e">
        <f ca="1">Gebaeude.Sample.Table[[#This Row],[TIEFE_ENDE]]-Gebaeude.Sample.Table[[#This Row],[DICKE]]</f>
        <v>#VALUE!</v>
      </c>
      <c r="K10" t="e" cm="1">
        <f t="array" aca="1" ref="K10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10" s="30"/>
      <c r="M10" s="30"/>
      <c r="N10" s="30"/>
      <c r="O10" s="31"/>
      <c r="P10" s="32"/>
    </row>
    <row r="11" spans="1:16" x14ac:dyDescent="0.25">
      <c r="A11" t="str">
        <f t="shared" si="3"/>
        <v>SB10</v>
      </c>
      <c r="B11" s="30" t="s">
        <v>576</v>
      </c>
      <c r="C11" s="30" t="s">
        <v>526</v>
      </c>
      <c r="D11" t="str">
        <f t="shared" si="4"/>
        <v>LAYER</v>
      </c>
      <c r="E11" s="30">
        <v>1</v>
      </c>
      <c r="F11" t="str">
        <f t="shared" si="5"/>
        <v>GEBAEUDE</v>
      </c>
      <c r="G11" s="30" t="s">
        <v>605</v>
      </c>
      <c r="H11" s="30" t="s">
        <v>353</v>
      </c>
      <c r="I11" s="30">
        <v>3</v>
      </c>
      <c r="J11">
        <f ca="1">Gebaeude.Sample.Table[[#This Row],[TIEFE_ENDE]]-Gebaeude.Sample.Table[[#This Row],[DICKE]]</f>
        <v>0</v>
      </c>
      <c r="K11" cm="1">
        <f t="array" aca="1" ref="K11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3</v>
      </c>
      <c r="L11" s="30" t="s">
        <v>222</v>
      </c>
      <c r="M11" s="30"/>
      <c r="N11" s="30"/>
      <c r="O11" s="31"/>
      <c r="P11" s="32"/>
    </row>
    <row r="12" spans="1:16" x14ac:dyDescent="0.25">
      <c r="A12" t="str">
        <f t="shared" si="3"/>
        <v>SB11</v>
      </c>
      <c r="B12" s="30" t="s">
        <v>576</v>
      </c>
      <c r="C12" s="30" t="s">
        <v>529</v>
      </c>
      <c r="D12" t="str">
        <f t="shared" si="4"/>
        <v>LAYER</v>
      </c>
      <c r="E12" s="30">
        <v>2</v>
      </c>
      <c r="F12" t="str">
        <f t="shared" si="5"/>
        <v>GEBAEUDE</v>
      </c>
      <c r="G12" s="30" t="s">
        <v>606</v>
      </c>
      <c r="H12" s="30" t="s">
        <v>448</v>
      </c>
      <c r="I12" s="30">
        <v>5</v>
      </c>
      <c r="J12" t="e">
        <f ca="1">Gebaeude.Sample.Table[[#This Row],[TIEFE_ENDE]]-Gebaeude.Sample.Table[[#This Row],[DICKE]]</f>
        <v>#VALUE!</v>
      </c>
      <c r="K12" t="e" cm="1">
        <f t="array" aca="1" ref="K12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12" s="30" t="s">
        <v>222</v>
      </c>
      <c r="M12" s="30"/>
      <c r="N12" s="30" t="s">
        <v>178</v>
      </c>
      <c r="O12" s="31" t="s">
        <v>367</v>
      </c>
      <c r="P12" s="32"/>
    </row>
    <row r="13" spans="1:16" x14ac:dyDescent="0.25">
      <c r="A13" t="str">
        <f t="shared" si="3"/>
        <v>SB12</v>
      </c>
      <c r="B13" s="30" t="s">
        <v>576</v>
      </c>
      <c r="C13" s="30" t="s">
        <v>529</v>
      </c>
      <c r="D13" t="str">
        <f t="shared" si="4"/>
        <v>LAYER</v>
      </c>
      <c r="E13" s="30">
        <v>3</v>
      </c>
      <c r="F13" t="str">
        <f t="shared" si="5"/>
        <v>GEBAEUDE</v>
      </c>
      <c r="G13" s="30" t="s">
        <v>449</v>
      </c>
      <c r="H13" s="30" t="s">
        <v>572</v>
      </c>
      <c r="I13" s="30"/>
      <c r="J13" t="e">
        <f ca="1">Gebaeude.Sample.Table[[#This Row],[TIEFE_ENDE]]-Gebaeude.Sample.Table[[#This Row],[DICKE]]</f>
        <v>#VALUE!</v>
      </c>
      <c r="K13" t="e" cm="1">
        <f t="array" aca="1" ref="K13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13" s="30"/>
      <c r="M13" s="30"/>
      <c r="N13" s="30"/>
      <c r="O13" s="31"/>
      <c r="P13" s="32"/>
    </row>
    <row r="14" spans="1:16" x14ac:dyDescent="0.25">
      <c r="A14" t="str">
        <f t="shared" si="3"/>
        <v>SB13</v>
      </c>
      <c r="B14" s="30" t="s">
        <v>577</v>
      </c>
      <c r="C14" s="30" t="s">
        <v>531</v>
      </c>
      <c r="D14" t="str">
        <f t="shared" si="4"/>
        <v>LAYER</v>
      </c>
      <c r="E14" s="30">
        <v>1</v>
      </c>
      <c r="F14" t="str">
        <f t="shared" si="5"/>
        <v>GEBAEUDE</v>
      </c>
      <c r="G14" s="30" t="s">
        <v>607</v>
      </c>
      <c r="H14" s="30" t="s">
        <v>572</v>
      </c>
      <c r="I14" s="30"/>
      <c r="J14">
        <f ca="1">Gebaeude.Sample.Table[[#This Row],[TIEFE_ENDE]]-Gebaeude.Sample.Table[[#This Row],[DICKE]]</f>
        <v>0</v>
      </c>
      <c r="K14" cm="1">
        <f t="array" aca="1" ref="K14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0</v>
      </c>
      <c r="L14" s="30" t="s">
        <v>222</v>
      </c>
      <c r="M14" s="30"/>
      <c r="N14" s="30" t="s">
        <v>116</v>
      </c>
      <c r="O14" s="30" t="s">
        <v>368</v>
      </c>
      <c r="P14" s="30"/>
    </row>
    <row r="15" spans="1:16" x14ac:dyDescent="0.25">
      <c r="A15" t="str">
        <f t="shared" si="3"/>
        <v>SB14</v>
      </c>
      <c r="B15" s="30" t="s">
        <v>578</v>
      </c>
      <c r="C15" s="30"/>
      <c r="D15" t="str">
        <f t="shared" si="4"/>
        <v>LAYER</v>
      </c>
      <c r="E15" s="30">
        <v>1</v>
      </c>
      <c r="F15" t="str">
        <f t="shared" si="5"/>
        <v>GEBAEUDE</v>
      </c>
      <c r="G15" s="30" t="s">
        <v>606</v>
      </c>
      <c r="H15" s="30" t="s">
        <v>574</v>
      </c>
      <c r="I15" s="30">
        <v>4</v>
      </c>
      <c r="J15">
        <f ca="1">Gebaeude.Sample.Table[[#This Row],[TIEFE_ENDE]]-Gebaeude.Sample.Table[[#This Row],[DICKE]]</f>
        <v>0</v>
      </c>
      <c r="K15" cm="1">
        <f t="array" aca="1" ref="K15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4</v>
      </c>
      <c r="L15" s="30" t="s">
        <v>222</v>
      </c>
      <c r="M15" s="30"/>
      <c r="N15" s="30"/>
      <c r="O15" s="30"/>
      <c r="P15" s="30"/>
    </row>
    <row r="16" spans="1:16" x14ac:dyDescent="0.25">
      <c r="A16" t="str">
        <f t="shared" si="3"/>
        <v>SB15</v>
      </c>
      <c r="B16" s="30" t="s">
        <v>579</v>
      </c>
      <c r="C16" s="30"/>
      <c r="D16" t="str">
        <f t="shared" si="4"/>
        <v>LAYER</v>
      </c>
      <c r="E16" s="30">
        <v>1</v>
      </c>
      <c r="F16" t="str">
        <f t="shared" si="5"/>
        <v>GEBAEUDE</v>
      </c>
      <c r="G16" s="30" t="s">
        <v>608</v>
      </c>
      <c r="H16" s="30" t="s">
        <v>609</v>
      </c>
      <c r="I16" s="30">
        <v>0.4</v>
      </c>
      <c r="J16">
        <f ca="1">Gebaeude.Sample.Table[[#This Row],[TIEFE_ENDE]]-Gebaeude.Sample.Table[[#This Row],[DICKE]]</f>
        <v>0</v>
      </c>
      <c r="K16" cm="1">
        <f t="array" aca="1" ref="K16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0.4</v>
      </c>
      <c r="L16" s="30" t="s">
        <v>222</v>
      </c>
      <c r="M16" s="30"/>
      <c r="N16" s="30"/>
      <c r="O16" s="30" t="s">
        <v>369</v>
      </c>
      <c r="P16" s="30"/>
    </row>
    <row r="17" spans="1:16" x14ac:dyDescent="0.25">
      <c r="A17" t="str">
        <f t="shared" si="3"/>
        <v>SB16</v>
      </c>
      <c r="B17" s="30" t="s">
        <v>579</v>
      </c>
      <c r="C17" s="30" t="s">
        <v>532</v>
      </c>
      <c r="D17" t="str">
        <f t="shared" si="4"/>
        <v>LAYER</v>
      </c>
      <c r="E17" s="30">
        <v>2</v>
      </c>
      <c r="F17" t="str">
        <f t="shared" si="5"/>
        <v>GEBAEUDE</v>
      </c>
      <c r="G17" s="30" t="s">
        <v>610</v>
      </c>
      <c r="H17" s="30" t="s">
        <v>572</v>
      </c>
      <c r="I17" s="30">
        <v>0.1</v>
      </c>
      <c r="J17" t="e">
        <f ca="1">Gebaeude.Sample.Table[[#This Row],[TIEFE_ENDE]]-Gebaeude.Sample.Table[[#This Row],[DICKE]]</f>
        <v>#VALUE!</v>
      </c>
      <c r="K17" t="e" cm="1">
        <f t="array" aca="1" ref="K17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17" s="30" t="s">
        <v>222</v>
      </c>
      <c r="M17" s="30" t="s">
        <v>630</v>
      </c>
      <c r="N17" s="30" t="s">
        <v>631</v>
      </c>
      <c r="O17" s="30" t="s">
        <v>369</v>
      </c>
      <c r="P17" s="30"/>
    </row>
    <row r="18" spans="1:16" x14ac:dyDescent="0.25">
      <c r="A18" t="str">
        <f t="shared" si="3"/>
        <v>SB17</v>
      </c>
      <c r="B18" s="30" t="s">
        <v>579</v>
      </c>
      <c r="C18" s="30" t="s">
        <v>534</v>
      </c>
      <c r="D18" t="str">
        <f t="shared" si="4"/>
        <v>LAYER</v>
      </c>
      <c r="E18" s="30">
        <v>3</v>
      </c>
      <c r="F18" t="str">
        <f t="shared" si="5"/>
        <v>GEBAEUDE</v>
      </c>
      <c r="G18" s="30" t="s">
        <v>611</v>
      </c>
      <c r="H18" s="30" t="s">
        <v>552</v>
      </c>
      <c r="I18" s="30">
        <v>2</v>
      </c>
      <c r="J18" t="e">
        <f ca="1">Gebaeude.Sample.Table[[#This Row],[TIEFE_ENDE]]-Gebaeude.Sample.Table[[#This Row],[DICKE]]</f>
        <v>#VALUE!</v>
      </c>
      <c r="K18" t="e" cm="1">
        <f t="array" aca="1" ref="K18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18" s="30" t="s">
        <v>222</v>
      </c>
      <c r="M18" s="30"/>
      <c r="N18" s="30"/>
      <c r="O18" s="30" t="s">
        <v>366</v>
      </c>
      <c r="P18" s="30"/>
    </row>
    <row r="19" spans="1:16" x14ac:dyDescent="0.25">
      <c r="A19" t="str">
        <f t="shared" si="3"/>
        <v>SB18</v>
      </c>
      <c r="B19" s="30" t="s">
        <v>579</v>
      </c>
      <c r="C19" s="30"/>
      <c r="D19" t="str">
        <f t="shared" si="4"/>
        <v>LAYER</v>
      </c>
      <c r="E19" s="30">
        <v>4</v>
      </c>
      <c r="F19" t="str">
        <f t="shared" si="5"/>
        <v>GEBAEUDE</v>
      </c>
      <c r="G19" s="30" t="s">
        <v>612</v>
      </c>
      <c r="H19" s="30" t="s">
        <v>551</v>
      </c>
      <c r="I19" s="30">
        <v>0.5</v>
      </c>
      <c r="J19" t="e">
        <f ca="1">Gebaeude.Sample.Table[[#This Row],[TIEFE_ENDE]]-Gebaeude.Sample.Table[[#This Row],[DICKE]]</f>
        <v>#VALUE!</v>
      </c>
      <c r="K19" t="e" cm="1">
        <f t="array" aca="1" ref="K19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19" s="30" t="s">
        <v>222</v>
      </c>
      <c r="M19" s="30"/>
      <c r="N19" s="30"/>
      <c r="O19" s="30" t="s">
        <v>369</v>
      </c>
      <c r="P19" s="30"/>
    </row>
    <row r="20" spans="1:16" x14ac:dyDescent="0.25">
      <c r="A20" t="str">
        <f t="shared" si="3"/>
        <v>SB19</v>
      </c>
      <c r="B20" s="30" t="s">
        <v>579</v>
      </c>
      <c r="C20" s="30" t="s">
        <v>593</v>
      </c>
      <c r="D20" t="str">
        <f t="shared" si="4"/>
        <v>LAYER</v>
      </c>
      <c r="E20" s="30">
        <v>5</v>
      </c>
      <c r="F20" t="str">
        <f t="shared" si="5"/>
        <v>GEBAEUDE</v>
      </c>
      <c r="G20" s="30" t="s">
        <v>613</v>
      </c>
      <c r="H20" s="30" t="s">
        <v>574</v>
      </c>
      <c r="I20" s="30">
        <v>4</v>
      </c>
      <c r="J20" t="e">
        <f ca="1">Gebaeude.Sample.Table[[#This Row],[TIEFE_ENDE]]-Gebaeude.Sample.Table[[#This Row],[DICKE]]</f>
        <v>#VALUE!</v>
      </c>
      <c r="K20" t="e" cm="1">
        <f t="array" aca="1" ref="K20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20" s="30" t="s">
        <v>222</v>
      </c>
      <c r="M20" s="30"/>
      <c r="N20" s="30" t="s">
        <v>632</v>
      </c>
      <c r="O20" s="30" t="s">
        <v>369</v>
      </c>
      <c r="P20" s="30"/>
    </row>
    <row r="21" spans="1:16" x14ac:dyDescent="0.25">
      <c r="A21" t="str">
        <f t="shared" si="3"/>
        <v>SB20</v>
      </c>
      <c r="B21" s="30" t="s">
        <v>579</v>
      </c>
      <c r="C21" s="30"/>
      <c r="D21" t="str">
        <f t="shared" si="4"/>
        <v>LAYER</v>
      </c>
      <c r="E21" s="30">
        <v>6</v>
      </c>
      <c r="F21" t="str">
        <f t="shared" si="5"/>
        <v>GEBAEUDE</v>
      </c>
      <c r="G21" s="30" t="s">
        <v>614</v>
      </c>
      <c r="H21" s="30" t="s">
        <v>572</v>
      </c>
      <c r="I21" s="30">
        <v>3</v>
      </c>
      <c r="J21" t="e">
        <f ca="1">Gebaeude.Sample.Table[[#This Row],[TIEFE_ENDE]]-Gebaeude.Sample.Table[[#This Row],[DICKE]]</f>
        <v>#VALUE!</v>
      </c>
      <c r="K21" t="e" cm="1">
        <f t="array" aca="1" ref="K21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21" s="30" t="s">
        <v>222</v>
      </c>
      <c r="M21" s="30"/>
      <c r="N21" s="30"/>
      <c r="O21" s="30"/>
      <c r="P21" s="30"/>
    </row>
    <row r="22" spans="1:16" x14ac:dyDescent="0.25">
      <c r="A22" t="str">
        <f t="shared" si="3"/>
        <v>SB21</v>
      </c>
      <c r="B22" s="30" t="s">
        <v>580</v>
      </c>
      <c r="C22" s="30" t="s">
        <v>594</v>
      </c>
      <c r="D22" t="str">
        <f t="shared" si="4"/>
        <v>LAYER</v>
      </c>
      <c r="E22" s="30">
        <v>1</v>
      </c>
      <c r="F22" t="str">
        <f t="shared" si="5"/>
        <v>GEBAEUDE</v>
      </c>
      <c r="G22" s="30" t="s">
        <v>615</v>
      </c>
      <c r="H22" s="30" t="s">
        <v>574</v>
      </c>
      <c r="I22" s="30">
        <v>1.5</v>
      </c>
      <c r="J22">
        <f ca="1">Gebaeude.Sample.Table[[#This Row],[TIEFE_ENDE]]-Gebaeude.Sample.Table[[#This Row],[DICKE]]</f>
        <v>0</v>
      </c>
      <c r="K22" cm="1">
        <f t="array" aca="1" ref="K22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1.5</v>
      </c>
      <c r="L22" s="30" t="s">
        <v>222</v>
      </c>
      <c r="M22" s="30"/>
      <c r="N22" s="30" t="s">
        <v>178</v>
      </c>
      <c r="O22" s="30" t="s">
        <v>367</v>
      </c>
      <c r="P22" s="30"/>
    </row>
    <row r="23" spans="1:16" x14ac:dyDescent="0.25">
      <c r="A23" t="str">
        <f t="shared" si="3"/>
        <v>SB22</v>
      </c>
      <c r="B23" s="30" t="s">
        <v>581</v>
      </c>
      <c r="C23" s="30"/>
      <c r="D23" t="str">
        <f t="shared" si="4"/>
        <v>LAYER</v>
      </c>
      <c r="E23" s="30">
        <v>1</v>
      </c>
      <c r="F23" t="str">
        <f t="shared" si="5"/>
        <v>GEBAEUDE</v>
      </c>
      <c r="G23" s="30" t="s">
        <v>608</v>
      </c>
      <c r="H23" s="30" t="s">
        <v>616</v>
      </c>
      <c r="I23" s="30">
        <v>0.5</v>
      </c>
      <c r="J23">
        <f ca="1">Gebaeude.Sample.Table[[#This Row],[TIEFE_ENDE]]-Gebaeude.Sample.Table[[#This Row],[DICKE]]</f>
        <v>0</v>
      </c>
      <c r="K23" cm="1">
        <f t="array" aca="1" ref="K23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0.5</v>
      </c>
      <c r="L23" s="30" t="s">
        <v>222</v>
      </c>
      <c r="M23" s="30"/>
      <c r="N23" s="30"/>
      <c r="O23" s="30" t="s">
        <v>369</v>
      </c>
      <c r="P23" s="30"/>
    </row>
    <row r="24" spans="1:16" x14ac:dyDescent="0.25">
      <c r="A24" t="str">
        <f t="shared" si="3"/>
        <v>SB23</v>
      </c>
      <c r="B24" s="30" t="s">
        <v>581</v>
      </c>
      <c r="C24" s="30" t="s">
        <v>595</v>
      </c>
      <c r="D24" t="str">
        <f t="shared" si="4"/>
        <v>LAYER</v>
      </c>
      <c r="E24" s="30">
        <v>2</v>
      </c>
      <c r="F24" t="str">
        <f t="shared" si="5"/>
        <v>GEBAEUDE</v>
      </c>
      <c r="G24" s="30" t="s">
        <v>610</v>
      </c>
      <c r="H24" s="30" t="s">
        <v>617</v>
      </c>
      <c r="I24" s="30">
        <v>0.5</v>
      </c>
      <c r="J24" t="e">
        <f ca="1">Gebaeude.Sample.Table[[#This Row],[TIEFE_ENDE]]-Gebaeude.Sample.Table[[#This Row],[DICKE]]</f>
        <v>#VALUE!</v>
      </c>
      <c r="K24" t="e" cm="1">
        <f t="array" aca="1" ref="K24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24" s="30" t="s">
        <v>222</v>
      </c>
      <c r="M24" s="30"/>
      <c r="N24" s="30" t="s">
        <v>633</v>
      </c>
      <c r="O24" s="30" t="s">
        <v>369</v>
      </c>
      <c r="P24" s="30"/>
    </row>
    <row r="25" spans="1:16" x14ac:dyDescent="0.25">
      <c r="A25" t="str">
        <f t="shared" si="3"/>
        <v>SB24</v>
      </c>
      <c r="B25" s="30" t="s">
        <v>582</v>
      </c>
      <c r="C25" s="30"/>
      <c r="D25" t="str">
        <f t="shared" si="4"/>
        <v>LAYER</v>
      </c>
      <c r="E25" s="30">
        <v>1</v>
      </c>
      <c r="F25" t="str">
        <f t="shared" si="5"/>
        <v>GEBAEUDE</v>
      </c>
      <c r="G25" s="30" t="s">
        <v>618</v>
      </c>
      <c r="H25" s="30" t="s">
        <v>353</v>
      </c>
      <c r="I25" s="30">
        <v>0.5</v>
      </c>
      <c r="J25">
        <f ca="1">Gebaeude.Sample.Table[[#This Row],[TIEFE_ENDE]]-Gebaeude.Sample.Table[[#This Row],[DICKE]]</f>
        <v>0</v>
      </c>
      <c r="K25" cm="1">
        <f t="array" aca="1" ref="K25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0.5</v>
      </c>
      <c r="L25" s="30" t="s">
        <v>222</v>
      </c>
      <c r="M25" s="30" t="s">
        <v>634</v>
      </c>
      <c r="N25" s="30"/>
      <c r="O25" s="30" t="s">
        <v>370</v>
      </c>
      <c r="P25" s="30" t="s">
        <v>371</v>
      </c>
    </row>
    <row r="26" spans="1:16" x14ac:dyDescent="0.25">
      <c r="A26" t="str">
        <f t="shared" si="3"/>
        <v>SB25</v>
      </c>
      <c r="B26" s="30" t="s">
        <v>582</v>
      </c>
      <c r="C26" s="30" t="s">
        <v>596</v>
      </c>
      <c r="D26" t="str">
        <f t="shared" si="4"/>
        <v>LAYER</v>
      </c>
      <c r="E26" s="30">
        <v>2</v>
      </c>
      <c r="F26" t="str">
        <f t="shared" si="5"/>
        <v>GEBAEUDE</v>
      </c>
      <c r="G26" s="30" t="s">
        <v>619</v>
      </c>
      <c r="H26" s="30" t="s">
        <v>620</v>
      </c>
      <c r="I26" s="30">
        <v>1.8</v>
      </c>
      <c r="J26" t="e">
        <f ca="1">Gebaeude.Sample.Table[[#This Row],[TIEFE_ENDE]]-Gebaeude.Sample.Table[[#This Row],[DICKE]]</f>
        <v>#VALUE!</v>
      </c>
      <c r="K26" t="e" cm="1">
        <f t="array" aca="1" ref="K26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26" s="30" t="s">
        <v>222</v>
      </c>
      <c r="M26" s="30"/>
      <c r="N26" s="30" t="s">
        <v>635</v>
      </c>
      <c r="O26" s="30" t="s">
        <v>371</v>
      </c>
      <c r="P26" s="30" t="s">
        <v>371</v>
      </c>
    </row>
    <row r="27" spans="1:16" x14ac:dyDescent="0.25">
      <c r="A27" t="str">
        <f t="shared" si="3"/>
        <v>SB26</v>
      </c>
      <c r="B27" s="30" t="s">
        <v>582</v>
      </c>
      <c r="C27" s="30"/>
      <c r="D27" t="str">
        <f t="shared" si="4"/>
        <v>LAYER</v>
      </c>
      <c r="E27" s="30">
        <v>3</v>
      </c>
      <c r="F27" t="str">
        <f t="shared" si="5"/>
        <v>GEBAEUDE</v>
      </c>
      <c r="G27" s="30" t="s">
        <v>621</v>
      </c>
      <c r="H27" s="30" t="s">
        <v>573</v>
      </c>
      <c r="I27" s="30"/>
      <c r="J27" t="e">
        <f ca="1">Gebaeude.Sample.Table[[#This Row],[TIEFE_ENDE]]-Gebaeude.Sample.Table[[#This Row],[DICKE]]</f>
        <v>#VALUE!</v>
      </c>
      <c r="K27" t="e" cm="1">
        <f t="array" aca="1" ref="K27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27" s="30" t="s">
        <v>193</v>
      </c>
      <c r="M27" s="30"/>
      <c r="N27" s="30"/>
      <c r="O27" s="30"/>
      <c r="P27" s="30"/>
    </row>
    <row r="28" spans="1:16" x14ac:dyDescent="0.25">
      <c r="A28" t="str">
        <f t="shared" si="3"/>
        <v>SB27</v>
      </c>
      <c r="B28" s="30" t="s">
        <v>583</v>
      </c>
      <c r="C28" s="30"/>
      <c r="D28" t="str">
        <f t="shared" si="4"/>
        <v>LAYER</v>
      </c>
      <c r="E28" s="30">
        <v>1</v>
      </c>
      <c r="F28" t="str">
        <f t="shared" si="5"/>
        <v>GEBAEUDE</v>
      </c>
      <c r="G28" s="30" t="s">
        <v>618</v>
      </c>
      <c r="H28" s="30" t="s">
        <v>622</v>
      </c>
      <c r="I28" s="30">
        <v>0.4</v>
      </c>
      <c r="J28">
        <f ca="1">Gebaeude.Sample.Table[[#This Row],[TIEFE_ENDE]]-Gebaeude.Sample.Table[[#This Row],[DICKE]]</f>
        <v>0</v>
      </c>
      <c r="K28" cm="1">
        <f t="array" aca="1" ref="K28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0.4</v>
      </c>
      <c r="L28" s="30" t="s">
        <v>222</v>
      </c>
      <c r="M28" s="30"/>
      <c r="N28" s="30"/>
      <c r="O28" s="30" t="s">
        <v>370</v>
      </c>
      <c r="P28" s="30" t="s">
        <v>371</v>
      </c>
    </row>
    <row r="29" spans="1:16" x14ac:dyDescent="0.25">
      <c r="A29" t="str">
        <f t="shared" si="3"/>
        <v>SB28</v>
      </c>
      <c r="B29" s="30" t="s">
        <v>583</v>
      </c>
      <c r="C29" s="30" t="s">
        <v>596</v>
      </c>
      <c r="D29" t="str">
        <f t="shared" si="4"/>
        <v>LAYER</v>
      </c>
      <c r="E29" s="30">
        <v>2</v>
      </c>
      <c r="F29" t="str">
        <f t="shared" si="5"/>
        <v>GEBAEUDE</v>
      </c>
      <c r="G29" s="30" t="s">
        <v>610</v>
      </c>
      <c r="H29" s="30" t="s">
        <v>572</v>
      </c>
      <c r="I29" s="30">
        <v>0.2</v>
      </c>
      <c r="J29" t="e">
        <f ca="1">Gebaeude.Sample.Table[[#This Row],[TIEFE_ENDE]]-Gebaeude.Sample.Table[[#This Row],[DICKE]]</f>
        <v>#VALUE!</v>
      </c>
      <c r="K29" t="e" cm="1">
        <f t="array" aca="1" ref="K29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29" s="30" t="s">
        <v>222</v>
      </c>
      <c r="M29" s="30"/>
      <c r="N29" s="30" t="s">
        <v>633</v>
      </c>
      <c r="O29" s="30" t="s">
        <v>369</v>
      </c>
      <c r="P29" s="30" t="s">
        <v>371</v>
      </c>
    </row>
    <row r="30" spans="1:16" x14ac:dyDescent="0.25">
      <c r="A30" t="str">
        <f t="shared" si="3"/>
        <v>SB29</v>
      </c>
      <c r="B30" s="30" t="s">
        <v>583</v>
      </c>
      <c r="C30" s="30" t="s">
        <v>596</v>
      </c>
      <c r="D30" t="str">
        <f t="shared" si="4"/>
        <v>LAYER</v>
      </c>
      <c r="E30" s="30">
        <v>3</v>
      </c>
      <c r="F30" t="str">
        <f t="shared" si="5"/>
        <v>GEBAEUDE</v>
      </c>
      <c r="G30" s="30" t="s">
        <v>623</v>
      </c>
      <c r="H30" s="30" t="s">
        <v>572</v>
      </c>
      <c r="I30" s="30">
        <v>8.5</v>
      </c>
      <c r="J30" t="e">
        <f ca="1">Gebaeude.Sample.Table[[#This Row],[TIEFE_ENDE]]-Gebaeude.Sample.Table[[#This Row],[DICKE]]</f>
        <v>#VALUE!</v>
      </c>
      <c r="K30" t="e" cm="1">
        <f t="array" aca="1" ref="K30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30" s="30" t="s">
        <v>222</v>
      </c>
      <c r="M30" s="30"/>
      <c r="N30" s="30"/>
      <c r="O30" s="30"/>
      <c r="P30" s="30"/>
    </row>
    <row r="31" spans="1:16" x14ac:dyDescent="0.25">
      <c r="A31" t="str">
        <f t="shared" si="3"/>
        <v>SB30</v>
      </c>
      <c r="B31" s="30" t="s">
        <v>583</v>
      </c>
      <c r="C31" s="30" t="s">
        <v>596</v>
      </c>
      <c r="D31" t="str">
        <f t="shared" si="4"/>
        <v>LAYER</v>
      </c>
      <c r="E31" s="30">
        <v>4</v>
      </c>
      <c r="F31" t="str">
        <f t="shared" si="5"/>
        <v>GEBAEUDE</v>
      </c>
      <c r="G31" s="30" t="s">
        <v>624</v>
      </c>
      <c r="H31" s="30" t="s">
        <v>552</v>
      </c>
      <c r="I31" s="30">
        <v>0.2</v>
      </c>
      <c r="J31" t="e">
        <f ca="1">Gebaeude.Sample.Table[[#This Row],[TIEFE_ENDE]]-Gebaeude.Sample.Table[[#This Row],[DICKE]]</f>
        <v>#VALUE!</v>
      </c>
      <c r="K31" t="e" cm="1">
        <f t="array" aca="1" ref="K31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31" s="30" t="s">
        <v>222</v>
      </c>
      <c r="M31" s="30"/>
      <c r="N31" s="30" t="s">
        <v>85</v>
      </c>
      <c r="O31" s="30" t="s">
        <v>636</v>
      </c>
      <c r="P31" s="30"/>
    </row>
    <row r="32" spans="1:16" x14ac:dyDescent="0.25">
      <c r="A32" t="str">
        <f t="shared" si="3"/>
        <v>SB31</v>
      </c>
      <c r="B32" s="30" t="s">
        <v>583</v>
      </c>
      <c r="C32" s="30"/>
      <c r="D32" t="str">
        <f t="shared" si="4"/>
        <v>LAYER</v>
      </c>
      <c r="E32" s="30">
        <v>5</v>
      </c>
      <c r="F32" t="str">
        <f t="shared" si="5"/>
        <v>GEBAEUDE</v>
      </c>
      <c r="G32" s="30" t="s">
        <v>449</v>
      </c>
      <c r="H32" s="30" t="s">
        <v>572</v>
      </c>
      <c r="I32" s="30"/>
      <c r="J32" t="e">
        <f ca="1">Gebaeude.Sample.Table[[#This Row],[TIEFE_ENDE]]-Gebaeude.Sample.Table[[#This Row],[DICKE]]</f>
        <v>#VALUE!</v>
      </c>
      <c r="K32" t="e" cm="1">
        <f t="array" aca="1" ref="K32" ca="1">IF(CELL("contents",INDIRECT(ADDRESS(ROW()-1,COLUMN(Gebaeude.Sample.Table[[#This Row],[PROBE.ID]]))))=Gebaeude.Sample.Table[[#This Row],[PROBE.ID]],(INDIRECT(ADDRESS(ROW()-1,COLUMN(Gebaeude.Sample.Table[[#This Row],[TIEFE_ENDE]])))+Gebaeude.Sample.Table[[#This Row],[DICKE]]),Gebaeude.Sample.Table[[#This Row],[DICKE]])</f>
        <v>#VALUE!</v>
      </c>
      <c r="L32" s="30"/>
      <c r="M32" s="30"/>
      <c r="N32" s="30"/>
      <c r="O32" s="31"/>
      <c r="P32" s="32"/>
    </row>
  </sheetData>
  <dataValidations count="6">
    <dataValidation allowBlank="1" showInputMessage="1" sqref="O1" xr:uid="{A5A7A187-8CFE-4D44-AF2F-AECA1AEB71AD}"/>
    <dataValidation allowBlank="1" showInputMessage="1" showErrorMessage="1" errorTitle="Falscher Aufschluss!" error="Bitte wählen Sie einen Aufschluss aus der Liste." promptTitle="Aufschluss" prompt="Bitte wählen sie einen Aufschluss aus der Liste." sqref="F1" xr:uid="{F22AB1AB-8AE5-4E8C-BD0F-B2515278111F}"/>
    <dataValidation type="list" allowBlank="1" showInputMessage="1" showErrorMessage="1" sqref="C2:C32" xr:uid="{E2258257-836B-4506-8B67-B2C3382B062B}">
      <formula1>CHEMIE_ID_GEB</formula1>
    </dataValidation>
    <dataValidation type="list" allowBlank="1" showInputMessage="1" showErrorMessage="1" sqref="L2:L32" xr:uid="{8271C950-1998-4F24-A60A-2A0D4EC9F401}">
      <formula1>JA_NEIN_AUSWAHL</formula1>
    </dataValidation>
    <dataValidation type="list" allowBlank="1" showInputMessage="1" showErrorMessage="1" sqref="B2:B1048576" xr:uid="{A2E15E7F-AC90-4010-9755-4D460684C4EF}">
      <formula1>GEBAUDE_ID</formula1>
    </dataValidation>
    <dataValidation type="list" allowBlank="1" showInputMessage="1" sqref="O2:O32" xr:uid="{8759B3E3-22BF-455B-834F-6D32BAA49C31}">
      <formula1>GEBAUDE_AVV_AUSWAHL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2581-FA9D-4FF9-8AF4-629CBEDA0CF0}">
  <dimension ref="A1:AH25"/>
  <sheetViews>
    <sheetView workbookViewId="0">
      <selection activeCell="AJ7" sqref="AJ7"/>
    </sheetView>
  </sheetViews>
  <sheetFormatPr baseColWidth="10" defaultColWidth="11.42578125" defaultRowHeight="15" x14ac:dyDescent="0.25"/>
  <cols>
    <col min="1" max="1" width="20.7109375" bestFit="1" customWidth="1"/>
    <col min="2" max="2" width="22.28515625" bestFit="1" customWidth="1"/>
    <col min="3" max="3" width="24.85546875" bestFit="1" customWidth="1"/>
    <col min="4" max="4" width="19.28515625" bestFit="1" customWidth="1"/>
    <col min="5" max="5" width="20.5703125" bestFit="1" customWidth="1"/>
    <col min="6" max="6" width="22" bestFit="1" customWidth="1"/>
    <col min="7" max="7" width="33.85546875" bestFit="1" customWidth="1"/>
    <col min="8" max="8" width="14.7109375" bestFit="1" customWidth="1"/>
    <col min="9" max="9" width="17.140625" bestFit="1" customWidth="1"/>
    <col min="10" max="10" width="16.85546875" bestFit="1" customWidth="1"/>
    <col min="11" max="11" width="36.7109375" bestFit="1" customWidth="1"/>
    <col min="12" max="12" width="18" bestFit="1" customWidth="1"/>
    <col min="13" max="13" width="13.42578125" bestFit="1" customWidth="1"/>
    <col min="14" max="14" width="28.5703125" bestFit="1" customWidth="1"/>
    <col min="15" max="15" width="16.7109375" bestFit="1" customWidth="1"/>
    <col min="16" max="16" width="17.140625" bestFit="1" customWidth="1"/>
    <col min="17" max="17" width="20.140625" bestFit="1" customWidth="1"/>
    <col min="18" max="18" width="21.28515625" bestFit="1" customWidth="1"/>
    <col min="19" max="19" width="27.5703125" bestFit="1" customWidth="1"/>
    <col min="20" max="20" width="15.85546875" bestFit="1" customWidth="1"/>
    <col min="21" max="21" width="23.140625" style="12" bestFit="1" customWidth="1"/>
    <col min="22" max="22" width="12" bestFit="1" customWidth="1"/>
    <col min="23" max="23" width="141" bestFit="1" customWidth="1"/>
    <col min="24" max="24" width="16.42578125" bestFit="1" customWidth="1"/>
    <col min="25" max="25" width="16.7109375" customWidth="1"/>
    <col min="26" max="26" width="21.7109375" customWidth="1"/>
    <col min="27" max="27" width="17.28515625" customWidth="1"/>
    <col min="28" max="28" width="18.140625" customWidth="1"/>
    <col min="30" max="30" width="24.28515625" style="12" customWidth="1"/>
    <col min="31" max="31" width="16.7109375" customWidth="1"/>
    <col min="32" max="32" width="20.140625" customWidth="1"/>
  </cols>
  <sheetData>
    <row r="1" spans="1:34" s="7" customFormat="1" x14ac:dyDescent="0.25">
      <c r="A1" s="7" t="s">
        <v>194</v>
      </c>
      <c r="B1" s="7" t="s">
        <v>195</v>
      </c>
      <c r="C1" s="7" t="s">
        <v>196</v>
      </c>
      <c r="D1" s="7" t="s">
        <v>197</v>
      </c>
      <c r="E1" s="7" t="s">
        <v>198</v>
      </c>
      <c r="F1" s="7" t="s">
        <v>199</v>
      </c>
      <c r="G1" s="7" t="s">
        <v>200</v>
      </c>
      <c r="H1" s="7" t="s">
        <v>201</v>
      </c>
      <c r="I1" s="7" t="s">
        <v>202</v>
      </c>
      <c r="J1" s="7" t="s">
        <v>203</v>
      </c>
      <c r="K1" s="7" t="s">
        <v>204</v>
      </c>
      <c r="L1" s="7" t="s">
        <v>205</v>
      </c>
      <c r="M1" s="7" t="s">
        <v>206</v>
      </c>
      <c r="N1" s="7" t="s">
        <v>207</v>
      </c>
      <c r="O1" s="7" t="s">
        <v>208</v>
      </c>
      <c r="P1" s="7" t="s">
        <v>209</v>
      </c>
      <c r="Q1" s="7" t="s">
        <v>210</v>
      </c>
      <c r="R1" s="7" t="s">
        <v>211</v>
      </c>
      <c r="S1" s="7" t="s">
        <v>212</v>
      </c>
      <c r="T1" s="7" t="s">
        <v>213</v>
      </c>
      <c r="U1" s="22" t="s">
        <v>214</v>
      </c>
      <c r="V1" s="7" t="s">
        <v>215</v>
      </c>
      <c r="W1" s="7" t="s">
        <v>216</v>
      </c>
      <c r="X1" s="7" t="s">
        <v>316</v>
      </c>
      <c r="Y1" s="7" t="s">
        <v>392</v>
      </c>
      <c r="Z1" s="7" t="s">
        <v>393</v>
      </c>
      <c r="AA1" s="7" t="s">
        <v>389</v>
      </c>
      <c r="AB1" s="7" t="s">
        <v>382</v>
      </c>
      <c r="AC1" s="7" t="s">
        <v>394</v>
      </c>
      <c r="AD1" s="22" t="s">
        <v>395</v>
      </c>
      <c r="AE1" s="7" t="s">
        <v>108</v>
      </c>
      <c r="AF1" s="7" t="s">
        <v>178</v>
      </c>
      <c r="AG1" s="7" t="s">
        <v>407</v>
      </c>
      <c r="AH1" s="7" t="s">
        <v>742</v>
      </c>
    </row>
    <row r="2" spans="1:34" x14ac:dyDescent="0.25">
      <c r="A2" t="s">
        <v>192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6</v>
      </c>
      <c r="I2" t="s">
        <v>223</v>
      </c>
      <c r="J2" t="s">
        <v>223</v>
      </c>
      <c r="K2" t="s">
        <v>7</v>
      </c>
      <c r="L2" t="s">
        <v>224</v>
      </c>
      <c r="M2" t="s">
        <v>773</v>
      </c>
      <c r="N2" t="s">
        <v>225</v>
      </c>
      <c r="O2" t="s">
        <v>7</v>
      </c>
      <c r="P2" t="s">
        <v>226</v>
      </c>
      <c r="Q2" t="s">
        <v>227</v>
      </c>
      <c r="R2" t="s">
        <v>228</v>
      </c>
      <c r="S2" t="s">
        <v>229</v>
      </c>
      <c r="T2" t="s">
        <v>230</v>
      </c>
      <c r="U2" s="12" t="s">
        <v>231</v>
      </c>
      <c r="V2" t="s">
        <v>232</v>
      </c>
      <c r="W2" t="s">
        <v>302</v>
      </c>
      <c r="X2" t="s">
        <v>8</v>
      </c>
      <c r="Y2" t="s">
        <v>362</v>
      </c>
      <c r="Z2" t="s">
        <v>299</v>
      </c>
      <c r="AA2" t="s">
        <v>378</v>
      </c>
      <c r="AB2" t="s">
        <v>383</v>
      </c>
      <c r="AC2" t="s">
        <v>413</v>
      </c>
      <c r="AD2" s="12" t="s">
        <v>370</v>
      </c>
      <c r="AE2" t="s">
        <v>7</v>
      </c>
      <c r="AF2" t="s">
        <v>226</v>
      </c>
      <c r="AG2" t="s">
        <v>408</v>
      </c>
      <c r="AH2" t="s">
        <v>761</v>
      </c>
    </row>
    <row r="3" spans="1:34" x14ac:dyDescent="0.25">
      <c r="A3" t="s">
        <v>233</v>
      </c>
      <c r="B3" t="s">
        <v>234</v>
      </c>
      <c r="C3" t="s">
        <v>235</v>
      </c>
      <c r="D3" t="s">
        <v>236</v>
      </c>
      <c r="E3" t="s">
        <v>237</v>
      </c>
      <c r="F3" t="s">
        <v>238</v>
      </c>
      <c r="G3" t="s">
        <v>193</v>
      </c>
      <c r="H3" t="s">
        <v>239</v>
      </c>
      <c r="I3" t="s">
        <v>240</v>
      </c>
      <c r="J3" t="s">
        <v>240</v>
      </c>
      <c r="K3" t="s">
        <v>241</v>
      </c>
      <c r="L3" t="s">
        <v>242</v>
      </c>
      <c r="M3" t="s">
        <v>729</v>
      </c>
      <c r="N3" t="s">
        <v>243</v>
      </c>
      <c r="O3" t="s">
        <v>241</v>
      </c>
      <c r="P3" t="s">
        <v>244</v>
      </c>
      <c r="Q3" t="s">
        <v>245</v>
      </c>
      <c r="R3" t="s">
        <v>246</v>
      </c>
      <c r="S3" t="s">
        <v>247</v>
      </c>
      <c r="T3" t="s">
        <v>248</v>
      </c>
      <c r="U3" s="12">
        <v>0.3</v>
      </c>
      <c r="V3" t="s">
        <v>249</v>
      </c>
      <c r="W3" t="s">
        <v>263</v>
      </c>
      <c r="X3" t="s">
        <v>314</v>
      </c>
      <c r="Y3" t="s">
        <v>365</v>
      </c>
      <c r="Z3" t="s">
        <v>361</v>
      </c>
      <c r="AA3" t="s">
        <v>379</v>
      </c>
      <c r="AB3" t="s">
        <v>384</v>
      </c>
      <c r="AC3" t="s">
        <v>414</v>
      </c>
      <c r="AD3" s="12" t="s">
        <v>404</v>
      </c>
      <c r="AE3" t="s">
        <v>241</v>
      </c>
      <c r="AF3" t="s">
        <v>244</v>
      </c>
      <c r="AG3" t="s">
        <v>409</v>
      </c>
      <c r="AH3" t="s">
        <v>751</v>
      </c>
    </row>
    <row r="4" spans="1:34" x14ac:dyDescent="0.25">
      <c r="A4" t="s">
        <v>251</v>
      </c>
      <c r="B4" t="s">
        <v>252</v>
      </c>
      <c r="C4" t="s">
        <v>253</v>
      </c>
      <c r="D4" t="s">
        <v>254</v>
      </c>
      <c r="E4" t="s">
        <v>255</v>
      </c>
      <c r="F4" t="s">
        <v>256</v>
      </c>
      <c r="H4" t="s">
        <v>412</v>
      </c>
      <c r="I4" t="s">
        <v>257</v>
      </c>
      <c r="J4" t="s">
        <v>257</v>
      </c>
      <c r="L4" t="s">
        <v>258</v>
      </c>
      <c r="M4" t="s">
        <v>730</v>
      </c>
      <c r="N4" t="s">
        <v>259</v>
      </c>
      <c r="Q4" t="s">
        <v>260</v>
      </c>
      <c r="R4" t="s">
        <v>229</v>
      </c>
      <c r="S4" t="s">
        <v>228</v>
      </c>
      <c r="T4" t="s">
        <v>261</v>
      </c>
      <c r="U4" s="12" t="s">
        <v>738</v>
      </c>
      <c r="V4" t="s">
        <v>262</v>
      </c>
      <c r="W4" t="s">
        <v>274</v>
      </c>
      <c r="Y4" t="s">
        <v>364</v>
      </c>
      <c r="Z4" t="s">
        <v>377</v>
      </c>
      <c r="AA4" t="s">
        <v>380</v>
      </c>
      <c r="AB4" t="s">
        <v>363</v>
      </c>
      <c r="AC4" t="s">
        <v>415</v>
      </c>
      <c r="AD4" s="12" t="s">
        <v>371</v>
      </c>
      <c r="AH4" t="s">
        <v>774</v>
      </c>
    </row>
    <row r="5" spans="1:34" x14ac:dyDescent="0.25">
      <c r="A5" t="s">
        <v>264</v>
      </c>
      <c r="B5" t="s">
        <v>265</v>
      </c>
      <c r="C5" t="s">
        <v>266</v>
      </c>
      <c r="D5" t="s">
        <v>267</v>
      </c>
      <c r="E5" t="s">
        <v>268</v>
      </c>
      <c r="F5" t="s">
        <v>269</v>
      </c>
      <c r="H5" t="s">
        <v>437</v>
      </c>
      <c r="I5" t="s">
        <v>270</v>
      </c>
      <c r="J5" t="s">
        <v>270</v>
      </c>
      <c r="L5" t="s">
        <v>271</v>
      </c>
      <c r="M5" t="s">
        <v>731</v>
      </c>
      <c r="Q5" t="s">
        <v>272</v>
      </c>
      <c r="S5" t="s">
        <v>246</v>
      </c>
      <c r="U5" s="12">
        <v>1.8</v>
      </c>
      <c r="V5" t="s">
        <v>273</v>
      </c>
      <c r="W5" t="s">
        <v>282</v>
      </c>
      <c r="Y5" t="s">
        <v>372</v>
      </c>
      <c r="Z5" t="s">
        <v>360</v>
      </c>
      <c r="AA5" t="s">
        <v>381</v>
      </c>
      <c r="AB5" t="s">
        <v>385</v>
      </c>
      <c r="AC5" t="s">
        <v>416</v>
      </c>
      <c r="AD5" s="12" t="s">
        <v>405</v>
      </c>
      <c r="AH5" t="s">
        <v>762</v>
      </c>
    </row>
    <row r="6" spans="1:34" x14ac:dyDescent="0.25">
      <c r="A6" t="s">
        <v>275</v>
      </c>
      <c r="B6" t="s">
        <v>276</v>
      </c>
      <c r="E6" t="s">
        <v>277</v>
      </c>
      <c r="F6" t="s">
        <v>278</v>
      </c>
      <c r="I6" t="s">
        <v>279</v>
      </c>
      <c r="J6" t="s">
        <v>279</v>
      </c>
      <c r="M6" t="s">
        <v>732</v>
      </c>
      <c r="Q6" t="s">
        <v>280</v>
      </c>
      <c r="U6" s="12">
        <v>3.2</v>
      </c>
      <c r="V6" t="s">
        <v>281</v>
      </c>
      <c r="W6" t="s">
        <v>288</v>
      </c>
      <c r="Y6" t="s">
        <v>373</v>
      </c>
      <c r="AB6" t="s">
        <v>359</v>
      </c>
      <c r="AC6" t="s">
        <v>429</v>
      </c>
      <c r="AD6" s="12" t="s">
        <v>406</v>
      </c>
      <c r="AH6" t="s">
        <v>750</v>
      </c>
    </row>
    <row r="7" spans="1:34" x14ac:dyDescent="0.25">
      <c r="A7" t="s">
        <v>283</v>
      </c>
      <c r="E7" t="s">
        <v>284</v>
      </c>
      <c r="I7" t="s">
        <v>285</v>
      </c>
      <c r="J7" t="s">
        <v>285</v>
      </c>
      <c r="Q7" t="s">
        <v>286</v>
      </c>
      <c r="U7" s="12">
        <v>10</v>
      </c>
      <c r="V7" t="s">
        <v>287</v>
      </c>
      <c r="W7" t="s">
        <v>293</v>
      </c>
      <c r="Y7" t="s">
        <v>357</v>
      </c>
      <c r="AB7" t="s">
        <v>386</v>
      </c>
      <c r="AC7" t="s">
        <v>430</v>
      </c>
      <c r="AD7" s="12" t="s">
        <v>397</v>
      </c>
      <c r="AH7" t="s">
        <v>763</v>
      </c>
    </row>
    <row r="8" spans="1:34" x14ac:dyDescent="0.25">
      <c r="A8" t="s">
        <v>289</v>
      </c>
      <c r="E8" t="s">
        <v>290</v>
      </c>
      <c r="Q8" t="s">
        <v>291</v>
      </c>
      <c r="U8" s="12">
        <v>32</v>
      </c>
      <c r="V8" t="s">
        <v>292</v>
      </c>
      <c r="W8" t="s">
        <v>297</v>
      </c>
      <c r="Y8" t="s">
        <v>374</v>
      </c>
      <c r="AB8" t="s">
        <v>387</v>
      </c>
      <c r="AC8" t="s">
        <v>431</v>
      </c>
      <c r="AD8" s="12" t="s">
        <v>366</v>
      </c>
      <c r="AH8" t="s">
        <v>764</v>
      </c>
    </row>
    <row r="9" spans="1:34" x14ac:dyDescent="0.25">
      <c r="A9" t="s">
        <v>294</v>
      </c>
      <c r="E9" t="s">
        <v>295</v>
      </c>
      <c r="Q9" t="s">
        <v>246</v>
      </c>
      <c r="U9" s="12">
        <v>100</v>
      </c>
      <c r="V9" t="s">
        <v>296</v>
      </c>
      <c r="W9" t="s">
        <v>300</v>
      </c>
      <c r="Y9" t="s">
        <v>375</v>
      </c>
      <c r="AB9" t="s">
        <v>388</v>
      </c>
      <c r="AC9" t="s">
        <v>432</v>
      </c>
      <c r="AD9" s="12" t="s">
        <v>398</v>
      </c>
      <c r="AH9" t="s">
        <v>765</v>
      </c>
    </row>
    <row r="10" spans="1:34" x14ac:dyDescent="0.25">
      <c r="A10" t="s">
        <v>298</v>
      </c>
      <c r="E10" t="s">
        <v>299</v>
      </c>
      <c r="W10" t="s">
        <v>250</v>
      </c>
      <c r="Y10" t="s">
        <v>376</v>
      </c>
      <c r="AB10" t="s">
        <v>390</v>
      </c>
      <c r="AC10" t="s">
        <v>417</v>
      </c>
      <c r="AD10" s="12" t="s">
        <v>399</v>
      </c>
      <c r="AH10" t="s">
        <v>766</v>
      </c>
    </row>
    <row r="11" spans="1:34" x14ac:dyDescent="0.25">
      <c r="A11" s="6" t="s">
        <v>301</v>
      </c>
      <c r="AB11" t="s">
        <v>391</v>
      </c>
      <c r="AC11" t="s">
        <v>418</v>
      </c>
      <c r="AD11" s="12" t="s">
        <v>367</v>
      </c>
      <c r="AH11" t="s">
        <v>767</v>
      </c>
    </row>
    <row r="12" spans="1:34" x14ac:dyDescent="0.25">
      <c r="AC12" t="s">
        <v>419</v>
      </c>
      <c r="AD12" s="12" t="s">
        <v>400</v>
      </c>
      <c r="AH12" t="s">
        <v>768</v>
      </c>
    </row>
    <row r="13" spans="1:34" x14ac:dyDescent="0.25">
      <c r="AC13" t="s">
        <v>420</v>
      </c>
      <c r="AD13" s="12" t="s">
        <v>401</v>
      </c>
      <c r="AH13" t="s">
        <v>769</v>
      </c>
    </row>
    <row r="14" spans="1:34" x14ac:dyDescent="0.25">
      <c r="AC14" t="s">
        <v>421</v>
      </c>
      <c r="AD14" s="12" t="s">
        <v>402</v>
      </c>
      <c r="AH14" t="s">
        <v>775</v>
      </c>
    </row>
    <row r="15" spans="1:34" x14ac:dyDescent="0.25">
      <c r="AC15" t="s">
        <v>422</v>
      </c>
      <c r="AD15" s="12" t="s">
        <v>403</v>
      </c>
      <c r="AH15" t="s">
        <v>776</v>
      </c>
    </row>
    <row r="16" spans="1:34" x14ac:dyDescent="0.25">
      <c r="AC16" t="s">
        <v>423</v>
      </c>
      <c r="AD16" s="12" t="s">
        <v>368</v>
      </c>
    </row>
    <row r="17" spans="29:30" x14ac:dyDescent="0.25">
      <c r="AC17" t="s">
        <v>424</v>
      </c>
      <c r="AD17" s="12" t="s">
        <v>396</v>
      </c>
    </row>
    <row r="18" spans="29:30" x14ac:dyDescent="0.25">
      <c r="AC18" t="s">
        <v>425</v>
      </c>
      <c r="AD18" s="12" t="s">
        <v>369</v>
      </c>
    </row>
    <row r="19" spans="29:30" x14ac:dyDescent="0.25">
      <c r="AC19" t="s">
        <v>426</v>
      </c>
    </row>
    <row r="20" spans="29:30" x14ac:dyDescent="0.25">
      <c r="AC20" t="s">
        <v>427</v>
      </c>
    </row>
    <row r="21" spans="29:30" x14ac:dyDescent="0.25">
      <c r="AC21" t="s">
        <v>428</v>
      </c>
    </row>
    <row r="22" spans="29:30" x14ac:dyDescent="0.25">
      <c r="AC22" t="s">
        <v>433</v>
      </c>
    </row>
    <row r="23" spans="29:30" x14ac:dyDescent="0.25">
      <c r="AC23" t="s">
        <v>434</v>
      </c>
    </row>
    <row r="24" spans="29:30" x14ac:dyDescent="0.25">
      <c r="AC24" t="s">
        <v>435</v>
      </c>
    </row>
    <row r="25" spans="29:30" x14ac:dyDescent="0.25">
      <c r="AC25" t="s">
        <v>436</v>
      </c>
    </row>
  </sheetData>
  <phoneticPr fontId="1" type="noConversion"/>
  <pageMargins left="0.7" right="0.7" top="0.78740157499999996" bottom="0.78740157499999996" header="0.3" footer="0.3"/>
  <ignoredErrors>
    <ignoredError sqref="U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ACBBE7-1532-4665-86EE-1A2D909F32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Daten</vt:lpstr>
      <vt:lpstr>DatenGebaeude</vt:lpstr>
      <vt:lpstr>DatenHaufwerk</vt:lpstr>
      <vt:lpstr>DatenErkundungsstelle</vt:lpstr>
      <vt:lpstr>Chemie</vt:lpstr>
      <vt:lpstr>RuK</vt:lpstr>
      <vt:lpstr>LP</vt:lpstr>
      <vt:lpstr>Untersuchung ERK</vt:lpstr>
      <vt:lpstr>Probe ERK</vt:lpstr>
      <vt:lpstr>Untersuchung HAUF</vt:lpstr>
      <vt:lpstr>Probe HAUF</vt:lpstr>
      <vt:lpstr>Untersuchung GEB</vt:lpstr>
      <vt:lpstr>Probe GEB</vt:lpstr>
      <vt:lpstr>Auswahl Listen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Kuenzl</dc:creator>
  <cp:lastModifiedBy>Vincent Görlich</cp:lastModifiedBy>
  <dcterms:created xsi:type="dcterms:W3CDTF">2021-07-27T08:53:06Z</dcterms:created>
  <dcterms:modified xsi:type="dcterms:W3CDTF">2024-04-01T10:34:19Z</dcterms:modified>
</cp:coreProperties>
</file>