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598EC8E5-7C5D-4A4E-8F20-53CF33403E68}" xr6:coauthVersionLast="47" xr6:coauthVersionMax="47" xr10:uidLastSave="{00000000-0000-0000-0000-000000000000}"/>
  <bookViews>
    <workbookView xWindow="3165" yWindow="660" windowWidth="23205" windowHeight="14085" tabRatio="914" firstSheet="4" activeTab="9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functionGroups builtInGroupCount="19"/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ERK'!#REF!,0,0,COUNTA('Untersuchung ERK'!$B:$B)-1)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8" l="1"/>
  <c r="B4" i="18"/>
  <c r="F4" i="18"/>
  <c r="G4" i="18" s="1"/>
  <c r="H4" i="18" s="1"/>
  <c r="I4" i="18" s="1"/>
  <c r="A6" i="18"/>
  <c r="B6" i="18"/>
  <c r="F6" i="18"/>
  <c r="G6" i="18" s="1"/>
  <c r="H6" i="18" s="1"/>
  <c r="I6" i="18" s="1"/>
  <c r="A5" i="17"/>
  <c r="B5" i="17"/>
  <c r="A4" i="17"/>
  <c r="B4" i="17"/>
  <c r="A5" i="33"/>
  <c r="A4" i="1"/>
  <c r="C4" i="1"/>
  <c r="A3" i="1"/>
  <c r="C3" i="1"/>
  <c r="A2" i="1"/>
  <c r="C2" i="1"/>
  <c r="A2" i="3"/>
  <c r="A3" i="3"/>
  <c r="A2" i="2"/>
  <c r="A3" i="33"/>
  <c r="A5" i="18"/>
  <c r="B5" i="18"/>
  <c r="F5" i="18"/>
  <c r="G5" i="18" s="1"/>
  <c r="H5" i="18" s="1"/>
  <c r="I5" i="18" s="1"/>
  <c r="A3" i="41"/>
  <c r="F3" i="41"/>
  <c r="Y3" i="41" a="1"/>
  <c r="Y3" i="41" s="1"/>
  <c r="A3" i="17"/>
  <c r="B3" i="17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Y2" i="41" a="1"/>
  <c r="Y2" i="41" s="1"/>
  <c r="F2" i="41"/>
  <c r="A2" i="41"/>
  <c r="A4" i="33"/>
  <c r="A2" i="33"/>
  <c r="N2" i="41" a="1"/>
  <c r="N3" i="41" a="1"/>
  <c r="N3" i="41" l="1"/>
  <c r="M3" i="41" s="1"/>
  <c r="N2" i="41"/>
  <c r="A2" i="40"/>
  <c r="A3" i="40"/>
  <c r="F2" i="40"/>
  <c r="F3" i="40"/>
  <c r="D2" i="40"/>
  <c r="D3" i="40"/>
  <c r="D2" i="10"/>
  <c r="C2" i="2"/>
  <c r="C2" i="3"/>
  <c r="C3" i="3"/>
  <c r="K2" i="10" a="1"/>
  <c r="K2" i="10" s="1"/>
  <c r="K3" i="10" a="1"/>
  <c r="K3" i="10" s="1"/>
  <c r="A3" i="10"/>
  <c r="F3" i="10"/>
  <c r="F2" i="10"/>
  <c r="A2" i="10"/>
  <c r="K3" i="40" a="1"/>
  <c r="K2" i="40" a="1"/>
  <c r="M2" i="41" l="1"/>
  <c r="K3" i="40"/>
  <c r="J3" i="40" s="1"/>
  <c r="K2" i="40"/>
  <c r="J2" i="4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<sst xmlns="http://schemas.openxmlformats.org/spreadsheetml/2006/main" count="1217" uniqueCount="483">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</sst>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5" totalsRowShown="0">
  <autoFilter ref="A1:AA5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5" totalsRowShown="0">
  <autoFilter ref="A1:D5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4" totalsRowShown="0">
  <autoFilter ref="A1:AH4" xr:uid="{AB98E13D-EE76-407A-9E41-2FEB0148ED29}"/>
  <tableColumns count="34">
    <tableColumn id="23" xr3:uid="{BFEDA679-F33C-4324-AE43-D18D188D239C}" name="PRIVATE_ID" dataDxfId="29">
      <calculatedColumnFormula>"ERK "&amp;ROW()-1</calculatedColumnFormula>
    </tableColumn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5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4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2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1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19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5">
      <calculatedColumnFormula>"HAUFWERK"</calculatedColumnFormula>
    </tableColumn>
    <tableColumn id="6" xr3:uid="{1586FA36-B4DE-4684-9D6E-C35C26DEC2A1}" name="ART"/>
    <tableColumn id="20" xr3:uid="{E39EAB2A-0B3D-4A23-B43E-208E3AAE3017}" name="KOERNUNG" dataDxfId="1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1">
  <autoFilter ref="A1:M3" xr:uid="{783D31A9-0098-428A-BD52-FB14AEB31A8E}"/>
  <tableColumns count="13">
    <tableColumn id="13" xr3:uid="{F3E1FB5E-1179-4C1F-A2AD-C862C5D6B3A4}" name="PRIVATE_ID" dataDxfId="10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D15" sqref="D1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5"/>
  <sheetViews>
    <sheetView workbookViewId="0">
      <pane xSplit="1" topLeftCell="F1" activePane="topRight" state="frozen"/>
      <selection activeCell="M31" sqref="M31"/>
      <selection pane="topRight" activeCell="X4" sqref="X4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409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238</v>
      </c>
      <c r="R5" t="s">
        <v>239</v>
      </c>
    </row>
  </sheetData>
  <phoneticPr fontId="1" type="noConversion"/>
  <dataValidations count="13">
    <dataValidation type="list" allowBlank="1" showErrorMessage="1" sqref="D2:D5" xr:uid="{310B5C64-E75B-48B0-A433-987ACC6A4389}">
      <formula1>"nachweisbar, nicht nachweisbar"</formula1>
    </dataValidation>
    <dataValidation type="list" allowBlank="1" showInputMessage="1" showErrorMessage="1" sqref="O2:O5" xr:uid="{BE8A61CA-55EE-44EB-B6CC-F3311FC218FB}">
      <formula1>"auffällig, nicht auffällig"</formula1>
    </dataValidation>
    <dataValidation type="list" allowBlank="1" showInputMessage="1" showErrorMessage="1" sqref="T2:T5 X2:X5 AB2:AB4 AA2:AA5" xr:uid="{0C1B8A6C-111C-4A71-B7CB-19BBB7CA01B8}">
      <formula1>"eingehalten, nicht eingehalten"</formula1>
    </dataValidation>
    <dataValidation type="list" allowBlank="1" showInputMessage="1" showErrorMessage="1" sqref="W2:W5" xr:uid="{BBFD99F8-4F98-4551-92EF-03D41A8C6CE6}">
      <formula1>"Spalte 5, DK1, DK2"</formula1>
    </dataValidation>
    <dataValidation type="list" allowBlank="1" showInputMessage="1" showErrorMessage="1" sqref="V2:V5" xr:uid="{2794A249-3D56-44F3-BA92-18A27C5E4D87}">
      <formula1>"DK0, DK1, DK2, DK3, &gt;DK3"</formula1>
    </dataValidation>
    <dataValidation type="list" allowBlank="1" showInputMessage="1" showErrorMessage="1" sqref="U2:U5" xr:uid="{1E602BBC-AD99-4DA7-85B3-EFB0009D9C54}">
      <formula1>"RC1, RC2, RC3, &gt;RC3"</formula1>
    </dataValidation>
    <dataValidation type="list" allowBlank="1" showInputMessage="1" showErrorMessage="1" sqref="R2:S5" xr:uid="{FA06BEE0-3E9C-4195-BDEB-FDE18FB3A0C9}">
      <formula1>"Z0, Z0*, Z1.1, Z1.2, Z2, &gt;Z2"</formula1>
    </dataValidation>
    <dataValidation type="list" allowBlank="1" showInputMessage="1" showErrorMessage="1" sqref="B2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5"/>
  <sheetViews>
    <sheetView workbookViewId="0">
      <selection activeCell="G20" sqref="G20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23</v>
      </c>
    </row>
    <row r="5" spans="1:4" x14ac:dyDescent="0.25">
      <c r="A5" s="1" t="str">
        <f>"A"&amp;ROW()-1</f>
        <v>A4</v>
      </c>
      <c r="B5">
        <f>ROW()-1</f>
        <v>4</v>
      </c>
      <c r="C5" t="s">
        <v>315</v>
      </c>
      <c r="D5" s="4">
        <v>251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E5" sqref="E5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3214</v>
      </c>
      <c r="E4" s="3">
        <v>123</v>
      </c>
      <c r="F4" s="5">
        <f>IFERROR(AVERAGE(Lp.Table[[#This Row],[WERT_1]:[WERT_3]]),"")</f>
        <v>1112.6666666666667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/>
    </row>
    <row r="5" spans="1:10" x14ac:dyDescent="0.25">
      <c r="A5" s="1" t="str">
        <f>"LP"&amp;ROW()-1</f>
        <v>LP4</v>
      </c>
      <c r="B5" s="1">
        <f>ROW()-1</f>
        <v>4</v>
      </c>
      <c r="C5" s="3">
        <v>123</v>
      </c>
      <c r="D5" s="3">
        <v>1</v>
      </c>
      <c r="E5" s="3">
        <v>13</v>
      </c>
      <c r="F5" s="5">
        <f>IFERROR(AVERAGE(Lp.Table[[#This Row],[WERT_1]:[WERT_3]]),"")</f>
        <v>45.666666666666664</v>
      </c>
      <c r="G5" s="1">
        <f>IFERROR(ROUND(22.5/Lp.Table[[#This Row],[MITTELWERT]],1),"")</f>
        <v>0.5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141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13</v>
      </c>
      <c r="D6" s="3">
        <v>32</v>
      </c>
      <c r="E6" s="3">
        <v>41</v>
      </c>
      <c r="F6" s="5">
        <f>IFERROR(AVERAGE(Lp.Table[[#This Row],[WERT_1]:[WERT_3]]),"")</f>
        <v>28.666666666666668</v>
      </c>
      <c r="G6" s="1">
        <f>IFERROR(ROUND(22.5/Lp.Table[[#This Row],[MITTELWERT]],1),"")</f>
        <v>0.8</v>
      </c>
      <c r="H6" s="6">
        <f>IFERROR(ROUND(Lp.Table[[#This Row],[EV]]*0.85,0),"")</f>
        <v>1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115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4"/>
  <sheetViews>
    <sheetView workbookViewId="0">
      <pane xSplit="2" topLeftCell="U1" activePane="topRight" state="frozen"/>
      <selection activeCell="F37" sqref="F37"/>
      <selection pane="topRight" activeCell="W13" sqref="W13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3" hidden="1" customWidth="1"/>
    <col min="4" max="4" width="12" bestFit="1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482</v>
      </c>
      <c r="B1" s="16" t="s">
        <v>7</v>
      </c>
      <c r="C1" s="16" t="s">
        <v>467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>"ERK "&amp;ROW()-1</f>
        <v>ERK 1</v>
      </c>
      <c r="B2" t="s">
        <v>0</v>
      </c>
      <c r="C2" s="1" t="str">
        <f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>"ERK "&amp;ROW()-1</f>
        <v>ERK 2</v>
      </c>
      <c r="B3" t="s">
        <v>480</v>
      </c>
      <c r="C3" s="1" t="str">
        <f>"EXPLORATION"</f>
        <v>EXPLORATION</v>
      </c>
      <c r="D3">
        <v>2</v>
      </c>
      <c r="E3" s="28"/>
      <c r="J3" s="12"/>
      <c r="M3" t="s">
        <v>227</v>
      </c>
      <c r="P3" s="12"/>
    </row>
    <row r="4" spans="1:34" x14ac:dyDescent="0.25">
      <c r="A4" s="1" t="str">
        <f>"ERK "&amp;ROW()-1</f>
        <v>ERK 3</v>
      </c>
      <c r="B4" t="s">
        <v>481</v>
      </c>
      <c r="C4" s="1" t="str">
        <f>"EXPLORATION"</f>
        <v>EXPLORATION</v>
      </c>
      <c r="D4">
        <v>3</v>
      </c>
      <c r="E4" s="28"/>
      <c r="J4" s="12"/>
      <c r="P4" s="12"/>
      <c r="X4">
        <v>123</v>
      </c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3"/>
  <sheetViews>
    <sheetView tabSelected="1" workbookViewId="0">
      <pane xSplit="9" topLeftCell="Q1" activePane="topRight" state="frozen"/>
      <selection pane="topRight" activeCell="T16" sqref="T16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17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">
        <v>409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479</v>
      </c>
      <c r="E3" t="s">
        <v>478</v>
      </c>
      <c r="F3" t="str">
        <f>"LAYER"</f>
        <v>LAYER</v>
      </c>
      <c r="G3">
        <v>2</v>
      </c>
      <c r="H3" t="s">
        <v>190</v>
      </c>
      <c r="I3" t="s">
        <v>189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s="1"/>
    </row>
  </sheetData>
  <dataValidations count="19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A3" sqref="A3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482</v>
      </c>
      <c r="B1" s="19" t="s">
        <v>7</v>
      </c>
      <c r="C1" s="19" t="s">
        <v>467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351</v>
      </c>
      <c r="G2" t="s">
        <v>341</v>
      </c>
      <c r="H2" t="s">
        <v>352</v>
      </c>
      <c r="I2" t="s">
        <v>344</v>
      </c>
      <c r="J2" s="12" t="s">
        <v>345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I12" sqref="I12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482</v>
      </c>
      <c r="B1" s="14" t="s">
        <v>7</v>
      </c>
      <c r="C1" s="14" t="s">
        <v>467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 t="shared" ref="A2:A3" si="0">"GEB "&amp;ROW()-1</f>
        <v>GEB 1</v>
      </c>
      <c r="B2" t="s">
        <v>452</v>
      </c>
      <c r="C2" t="str">
        <f t="shared" ref="C2:C3" si="1">"BUILDING"</f>
        <v>BUILDING</v>
      </c>
      <c r="D2">
        <v>0</v>
      </c>
      <c r="E2" s="11"/>
    </row>
    <row r="3" spans="1:13" x14ac:dyDescent="0.25">
      <c r="A3" t="str">
        <f t="shared" si="0"/>
        <v>GEB 2</v>
      </c>
      <c r="B3" t="s">
        <v>2</v>
      </c>
      <c r="C3" t="str">
        <f t="shared" si="1"/>
        <v>BUILDING</v>
      </c>
      <c r="D3">
        <v>1</v>
      </c>
      <c r="E3" s="11">
        <v>44165</v>
      </c>
      <c r="F3" t="s">
        <v>358</v>
      </c>
      <c r="G3" t="s">
        <v>300</v>
      </c>
      <c r="I3" t="s">
        <v>359</v>
      </c>
      <c r="J3" t="s">
        <v>358</v>
      </c>
      <c r="K3" t="s">
        <v>360</v>
      </c>
      <c r="M3" t="s">
        <v>415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2021-11-17T16:12:47Z</dcterms:modified>
</cp:coreProperties>
</file>