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C7908ED1-52BF-4F2C-B40B-D3D2B22B73C0}" xr6:coauthVersionLast="47" xr6:coauthVersionMax="47" xr10:uidLastSave="{00000000-0000-0000-0000-000000000000}"/>
  <bookViews>
    <workbookView xWindow="6285" yWindow="1365" windowWidth="19815" windowHeight="13155" tabRatio="914" firstSheet="4" activeTab="6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ERK'!$A$2,0,0,COUNTA('Untersuchung ERK'!$A:$A)-1)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8" l="1"/>
  <c r="B3" i="18"/>
  <c r="F3" i="18"/>
  <c r="G3" i="18" s="1"/>
  <c r="H3" i="18" s="1"/>
  <c r="I3" i="18" s="1"/>
  <c r="D3" i="10"/>
  <c r="Z2" i="41"/>
  <c r="Z3" i="41"/>
  <c r="Y2" i="41" a="1"/>
  <c r="Y2" i="41" s="1"/>
  <c r="Y3" i="41" a="1"/>
  <c r="Y3" i="41" s="1"/>
  <c r="F3" i="41"/>
  <c r="A3" i="41"/>
  <c r="F2" i="41"/>
  <c r="A2" i="41"/>
  <c r="F2" i="18"/>
  <c r="G2" i="18" s="1"/>
  <c r="H2" i="18" s="1"/>
  <c r="I2" i="18" s="1"/>
  <c r="J2" i="18" s="1"/>
  <c r="B2" i="18"/>
  <c r="A2" i="18"/>
  <c r="B2" i="17"/>
  <c r="A2" i="17"/>
  <c r="A3" i="33"/>
  <c r="A2" i="33"/>
  <c r="N2" i="41" a="1"/>
  <c r="N3" i="41" a="1"/>
  <c r="N3" i="41" l="1"/>
  <c r="N2" i="41"/>
  <c r="A2" i="40"/>
  <c r="A3" i="40"/>
  <c r="F2" i="40"/>
  <c r="F3" i="40"/>
  <c r="D2" i="40"/>
  <c r="D3" i="40"/>
  <c r="D2" i="10"/>
  <c r="B2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K3" i="40" a="1"/>
  <c r="M2" i="41" l="1"/>
  <c r="K3" i="40"/>
  <c r="J3" i="40" s="1"/>
  <c r="K2" i="40"/>
  <c r="J2" i="40" s="1"/>
  <c r="M3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<sst xmlns="http://schemas.openxmlformats.org/spreadsheetml/2006/main" count="1237" uniqueCount="480">
  <si>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</si>
  <si>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</si>
  <si>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</si>
  <si>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</si>
  <si>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</si>
  <si>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</si>
  <si>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</si>
  <si>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</si>
  <si>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</si>
  <si>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</si>
  <si>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</si>
  <si>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</si>
  <si>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</si>
  <si>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</si>
  <si>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</si>
  <si>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</si>
  <si>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</si>
  <si>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</si>
  <si>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</si>
  <si>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</si>
  <si>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</si>
  <si>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</si>
  <si>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</si>
  <si>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</si>
  <si>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</si>
  <si>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</si>
  <si>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</si>
  <si>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</si>
  <si>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</si>
  <si>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</si>
  <si>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</si>
  <si>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</si>
  <si>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</si>
  <si>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</si>
  <si>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</si>
  <si>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</si>
  <si>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</si>
  <si>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</si>
  <si>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</si>
  <si>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</si>
  <si>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</si>
  <si>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</si>
  <si>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</si>
  <si>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</si>
  <si>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</si>
  <si>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</si>
  <si>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</si>
  <si>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</si>
  <si>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</si>
  <si>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</si>
  <si>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</si>
  <si>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</si>
  <si>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</si>
  <si>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</si>
  <si>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</si>
  <si>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</si>
  <si>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</si>
  <si>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</si>
  <si>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</si>
  <si>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</si>
  <si>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</si>
  <si>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</si>
  <si>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</si>
  <si>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</si>
  <si>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</si>
  <si>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</si>
  <si>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</si>
  <si>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</si>
  <si>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</si>
  <si>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</si>
  <si>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</si>
  <si>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</si>
  <si>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</si>
  <si>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</si>
  <si>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</si>
  <si>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</si>
  <si>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</si>
  <si>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</si>
  <si>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</si>
  <si>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</si>
  <si>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</si>
  <si>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</si>
  <si>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</si>
  <si>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</si>
  <si>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</si>
  <si>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</si>
  <si>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</si>
  <si>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</si>
  <si>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</si>
  <si>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</si>
  <si>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</si>
  <si>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</si>
  <si>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</si>
  <si>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</si>
  <si>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</si>
  <si>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</si>
  <si>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</si>
  <si>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</si>
  <si>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</si>
  <si>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</si>
  <si>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</si>
  <si>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</si>
  <si>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</si>
  <si>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</si>
  <si>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</si>
  <si>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</si>
  <si>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</si>
  <si>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</si>
  <si>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</si>
  <si>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</si>
  <si>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</si>
  <si>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</si>
  <si>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</si>
  <si>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</si>
  <si>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</si>
  <si>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</si>
  <si>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</si>
  <si>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</si>
  <si>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</si>
  <si>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</si>
  <si>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</si>
  <si>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</si>
  <si>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</si>
  <si>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</si>
  <si>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</si>
  <si>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</si>
  <si>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</si>
  <si>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</si>
  <si>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</si>
  <si>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</si>
  <si>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</si>
  <si>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</si>
  <si>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</si>
  <si>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</si>
  <si>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</si>
  <si>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</si>
  <si>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</si>
  <si>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</si>
  <si>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</si>
  <si>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</si>
  <si>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</si>
  <si>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</si>
  <si>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</si>
  <si>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</si>
  <si>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</si>
  <si>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</si>
  <si>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</si>
  <si>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</si>
  <si>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</si>
  <si>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</si>
  <si>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</si>
  <si>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</si>
  <si>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</si>
  <si>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</si>
  <si>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</si>
  <si>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</si>
  <si>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</si>
  <si>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</si>
  <si>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</si>
  <si>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</si>
  <si>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</si>
  <si>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</si>
  <si>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</si>
  <si>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</si>
  <si>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</si>
  <si>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</si>
  <si>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</si>
  <si>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</si>
  <si>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</si>
  <si>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</si>
  <si>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</si>
  <si>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</si>
  <si>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</si>
  <si>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</si>
  <si>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</si>
  <si>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</si>
  <si>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</si>
  <si>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</si>
  <si>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</si>
  <si>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</si>
  <si>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</si>
  <si>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</si>
  <si>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</si>
  <si>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</si>
  <si>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</si>
  <si>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</si>
  <si>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</si>
  <si>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</si>
  <si>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</si>
  <si>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</si>
  <si>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</si>
  <si>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</si>
  <si>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</si>
  <si>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</si>
  <si>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</si>
  <si>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</si>
  <si>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</si>
  <si>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</si>
  <si>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</si>
  <si>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</si>
  <si>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</si>
  <si>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</si>
  <si>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</si>
  <si>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</si>
  <si>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</si>
  <si>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</si>
  <si>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</si>
  <si>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</si>
  <si>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</si>
  <si>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</si>
  <si>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</si>
  <si>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</si>
  <si>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</si>
  <si>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</si>
  <si>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</si>
  <si>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</si>
  <si>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</si>
  <si>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</si>
  <si>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</si>
  <si>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</si>
  <si>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</si>
  <si>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</si>
  <si>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</si>
  <si>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</si>
  <si>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</si>
  <si>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</si>
  <si>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</si>
  <si>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</si>
  <si>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</si>
  <si>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</si>
  <si>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</si>
  <si>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</si>
  <si>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</si>
  <si>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</si>
  <si>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</si>
  <si>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</si>
  <si>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</si>
  <si>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</si>
  <si>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</si>
  <si>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</si>
  <si>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</si>
  <si>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</si>
  <si>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</si>
  <si>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</si>
  <si>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</si>
  <si>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</si>
  <si>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</si>
  <si>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</si>
  <si>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</si>
  <si>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</si>
  <si>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</si>
  <si>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</si>
  <si>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</si>
  <si>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</si>
  <si>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</si>
  <si>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</si>
  <si>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</si>
  <si>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</si>
  <si>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</si>
  <si>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</si>
  <si>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</si>
  <si>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</si>
  <si>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</si>
  <si>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</si>
  <si>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</si>
  <si>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</si>
  <si>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</si>
  <si>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</si>
  <si>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</si>
  <si>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</si>
  <si>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</si>
  <si>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</si>
  <si>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</si>
  <si>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</si>
  <si>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</si>
  <si>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</si>
  <si>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</si>
  <si>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</si>
  <si>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</si>
  <si>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</si>
  <si>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</si>
  <si>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</si>
  <si>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</si>
  <si>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</si>
  <si>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</si>
  <si>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</si>
  <si>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</si>
  <si>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</si>
  <si>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</si>
  <si>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</si>
  <si>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</si>
  <si>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</si>
  <si>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</si>
  <si>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</si>
  <si>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</si>
  <si>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</si>
  <si>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</si>
  <si>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</si>
  <si>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</si>
  <si>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</si>
  <si>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</si>
  <si>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</si>
  <si>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</si>
  <si>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</si>
  <si>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</si>
  <si>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</si>
  <si>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</si>
  <si>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</si>
  <si>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</si>
  <si>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</si>
  <si>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</si>
  <si>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</si>
  <si>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</si>
  <si>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</si>
  <si>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</si>
  <si>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</si>
  <si>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</si>
  <si>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</si>
  <si>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</si>
  <si>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</si>
  <si>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</si>
  <si>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</si>
  <si>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</si>
  <si>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</si>
  <si>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</si>
  <si>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</si>
  <si>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</si>
  <si>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</si>
  <si>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</si>
  <si>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</si>
  <si>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</si>
  <si>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</si>
  <si>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</si>
  <si>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</si>
  <si>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</si>
  <si>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</si>
  <si>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</si>
  <si>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</si>
  <si>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</si>
  <si>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</si>
  <si>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</si>
  <si>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</si>
  <si>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</si>
  <si>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</si>
  <si>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</si>
  <si>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</si>
  <si>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</si>
  <si>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</si>
  <si>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</si>
  <si>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</si>
  <si>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</si>
  <si>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</si>
  <si>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</si>
  <si>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</si>
  <si>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</si>
  <si>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</si>
  <si>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</si>
  <si>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</si>
  <si>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</si>
  <si>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</si>
  <si>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</si>
  <si>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</si>
  <si>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</si>
  <si>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</si>
  <si>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</si>
  <si>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</si>
  <si>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</si>
  <si>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</si>
  <si>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</si>
  <si>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</si>
  <si>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</si>
  <si>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</si>
  <si>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</si>
  <si>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</si>
  <si>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</si>
  <si>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</si>
  <si>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</si>
  <si>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</si>
  <si>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</si>
  <si>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</si>
  <si>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</si>
  <si>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</si>
  <si>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</si>
  <si>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</si>
  <si>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</si>
  <si>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</si>
  <si>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</si>
  <si>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</si>
  <si>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</si>
  <si>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</si>
  <si>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</si>
  <si>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</si>
  <si>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</si>
  <si>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</si>
  <si>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</si>
  <si>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</si>
  <si>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</si>
  <si>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</si>
  <si>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</si>
  <si>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</si>
  <si>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</si>
  <si>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</si>
  <si>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</si>
  <si>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</si>
  <si>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</si>
  <si>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</si>
  <si>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</si>
  <si>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</si>
  <si>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</si>
  <si>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</si>
  <si>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</si>
  <si>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</si>
  <si>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</si>
  <si>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</si>
  <si>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</si>
  <si>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</si>
  <si>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</si>
  <si>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</si>
  <si>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</si>
  <si>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</si>
  <si>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</si>
  <si>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</si>
  <si>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</si>
  <si>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</si>
  <si>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</si>
  <si>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</si>
  <si>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</si>
  <si>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</si>
  <si>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</si>
  <si>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</si>
  <si>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</si>
  <si>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</si>
  <si>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</si>
  <si>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</si>
  <si>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</si>
  <si>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</si>
  <si>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</si>
  <si>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</si>
  <si>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</si>
  <si>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</si>
  <si>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</si>
  <si>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</si>
  <si>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</si>
  <si>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</si>
  <si>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</si>
  <si>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</si>
  <si>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</si>
  <si>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</si>
  <si>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</si>
  <si>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</si>
  <si>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</si>
  <si>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</si>
  <si>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</si>
  <si>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</si>
  <si>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</si>
  <si>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</si>
  <si>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</si>
  <si>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</si>
  <si>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</si>
  <si>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</si>
  <si>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</si>
  <si>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</si>
  <si>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</si>
  <si>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</si>
  <si>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</si>
  <si>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</si>
  <si>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</si>
  <si>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</si>
  <si>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</si>
  <si>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</si>
  <si>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</si>
  <si>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</si>
  <si>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</si>
  <si>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</si>
  <si>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</si>
  <si>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</si>
  <si>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</si>
  <si>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</si>
  <si>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A1</t>
  </si>
  <si>
    <t>LP1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</si>
</sst>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\~\ 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</cellXfs>
  <cellStyles count="1">
    <cellStyle name="Normal" xfId="0" builtinId="0"/>
  </cellStyles>
  <dxfs count="1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59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58"/>
    <tableColumn id="71" xr3:uid="{B7D2BA06-4A34-4C68-8818-08707091BD51}" uniqueName="71" name="PARAMETER.LP.EV2" queryTableFieldId="71" dataDxfId="157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6"/>
    <tableColumn id="77" xr3:uid="{A31B4E8D-FF30-4350-8B36-F5A091FA8BE3}" uniqueName="77" name="PARAMETER.CHEMISTRY.ID" queryTableFieldId="77" dataDxfId="155"/>
    <tableColumn id="78" xr3:uid="{6447F090-92FC-4BF7-BB54-7062E3B51531}" uniqueName="78" name="PARAMETER.CHEMISTRY.MUFV" queryTableFieldId="78" dataDxfId="154"/>
    <tableColumn id="79" xr3:uid="{02A2CC25-5CAB-486D-B541-3DE6E66C39B0}" uniqueName="79" name="PARAMETER.CHEMISTRY.MUFV_PARAMETER" queryTableFieldId="79" dataDxfId="153"/>
    <tableColumn id="80" xr3:uid="{7807F747-E532-4E88-9A2C-D53E765139AA}" uniqueName="80" name="PARAMETER.CHEMISTRY.ASBEST" queryTableFieldId="80" dataDxfId="152"/>
    <tableColumn id="81" xr3:uid="{4EBADA30-0DF6-499D-AAF0-FC1167D25847}" uniqueName="81" name="PARAMETER.CHEMISTRY.KMF" queryTableFieldId="81" dataDxfId="151"/>
    <tableColumn id="82" xr3:uid="{3B561F5F-2D43-4067-8617-DECD7FB8EA51}" uniqueName="82" name="PARAMETER.CHEMISTRY.PAK" queryTableFieldId="82" dataDxfId="150"/>
    <tableColumn id="83" xr3:uid="{FFB29055-4A3C-457D-A460-0093ABBD6620}" uniqueName="83" name="PARAMETER.CHEMISTRY.PCB" queryTableFieldId="83" dataDxfId="149"/>
    <tableColumn id="84" xr3:uid="{223AB50A-7F5C-4434-976E-67A136FA6D2C}" uniqueName="84" name="PARAMETER.CHEMISTRY.BTEX" queryTableFieldId="84" dataDxfId="148"/>
    <tableColumn id="85" xr3:uid="{DF177C34-7768-423A-BBEE-CB2710E46706}" uniqueName="85" name="PARAMETER.CHEMISTRY.EOX" queryTableFieldId="85" dataDxfId="147"/>
    <tableColumn id="86" xr3:uid="{449C7574-6309-4508-9E06-DA2A5DDB239D}" uniqueName="86" name="PARAMETER.CHEMISTRY.PHENOLE" queryTableFieldId="86" dataDxfId="146"/>
    <tableColumn id="87" xr3:uid="{FA4D0C39-E96A-4B21-9448-CD88C1947C88}" uniqueName="87" name="PARAMETER.CHEMISTRY.ICP_SCREENING" queryTableFieldId="87" dataDxfId="145"/>
    <tableColumn id="88" xr3:uid="{5C31CD76-89C0-4772-832C-EDD96CAF2D7C}" uniqueName="88" name="PARAMETER.CHEMISTRY.MKW_C10_C22" queryTableFieldId="88" dataDxfId="144"/>
    <tableColumn id="89" xr3:uid="{6557DE6D-5F29-4CCB-BEAF-951520533AB7}" uniqueName="89" name="PARAMETER.CHEMISTRY.MKW_C10_C40" queryTableFieldId="89" dataDxfId="143"/>
    <tableColumn id="90" xr3:uid="{56DEE031-2DC4-466F-B6B3-6EFB4A114A06}" uniqueName="90" name="PARAMETER.CHEMISTRY.SULFAT" queryTableFieldId="90" dataDxfId="142"/>
    <tableColumn id="91" xr3:uid="{E331A1BC-B90C-48E4-84AA-6505E483F830}" uniqueName="91" name="PARAMETER.CHEMISTRY.ALTHOLZ_VERORDNUNG" queryTableFieldId="91" dataDxfId="141"/>
    <tableColumn id="92" xr3:uid="{664484A1-1F1D-4631-9229-FA2423019CF7}" uniqueName="92" name="PARAMETER.CHEMISTRY.FCKW" queryTableFieldId="92" dataDxfId="140"/>
    <tableColumn id="93" xr3:uid="{E9955DE5-8EE5-451C-B9B5-47B862F0EBF7}" uniqueName="93" name="PARAMETER.CHEMISTRY.HBCD" queryTableFieldId="93" dataDxfId="139"/>
    <tableColumn id="94" xr3:uid="{99A8AAEB-7F54-443A-9AE4-10239B7B5313}" uniqueName="94" name="PARAMETER.CHEMISTRY.LAGA_BO" queryTableFieldId="94" dataDxfId="138"/>
    <tableColumn id="95" xr3:uid="{40FC5D6C-62C6-452D-85D0-BF8E2B0CA64D}" uniqueName="95" name="PARAMETER.CHEMISTRY.LAGA_RC" queryTableFieldId="95" dataDxfId="137"/>
    <tableColumn id="96" xr3:uid="{5350E1CB-168D-43E2-8174-5307AB2F7FFF}" uniqueName="96" name="PARAMETER.CHEMISTRY.LAGA_RC_ORIENTIERUNGSWERT" queryTableFieldId="96" dataDxfId="136"/>
    <tableColumn id="97" xr3:uid="{A22C6EC8-A7C8-42A1-A4A5-49F13CDF77E8}" uniqueName="97" name="PARAMETER.CHEMISTRY.TL_GESTEIN" queryTableFieldId="97" dataDxfId="135"/>
    <tableColumn id="98" xr3:uid="{725C7FEA-C159-432A-BBD3-F6031988605E}" uniqueName="98" name="PARAMETER.CHEMISTRY.DEPV" queryTableFieldId="98" dataDxfId="134"/>
    <tableColumn id="99" xr3:uid="{C4872AA8-2C00-433A-97CE-CA0243253F13}" uniqueName="99" name="PARAMETER.CHEMISTRY.ENTSCHEIDUNGSHILFE" queryTableFieldId="99" dataDxfId="133"/>
    <tableColumn id="100" xr3:uid="{4A15FF20-0E7F-4AFB-92FE-AE384507F846}" uniqueName="100" name="PARAMETER.CHEMISTRY.REKU" queryTableFieldId="100" dataDxfId="132"/>
    <tableColumn id="101" xr3:uid="{6DE305E5-8909-4015-B780-8B5EC1734EF0}" uniqueName="101" name="PARAMETER.CHEMISTRY.RUVA" queryTableFieldId="101" dataDxfId="131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0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29"/>
    <tableColumn id="118" xr3:uid="{3BFAA40F-A0BC-48BB-A998-3C0F59055FDF}" uniqueName="118" name="SAMPLE.ABFALLSCHLUESSEL_GEMISCH" queryTableFieldId="118" dataDxfId="12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7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6"/>
    <tableColumn id="26" xr3:uid="{FC97436C-64A0-41C8-B4BE-9C2242984A2A}" uniqueName="26" name="SAMPLE.ABFALLSCHLUESSEL_GEMISCH" queryTableFieldId="26" dataDxfId="125"/>
    <tableColumn id="27" xr3:uid="{FEC52FA2-705E-42CB-80EC-4928D5325B71}" uniqueName="27" name="PARAMETER.CHEMISTRY.ID" queryTableFieldId="27" dataDxfId="124"/>
    <tableColumn id="28" xr3:uid="{27A4E004-8EAD-421D-9AA3-CF721B6D9A83}" uniqueName="28" name="PARAMETER.CHEMISTRY.MUFV" queryTableFieldId="28" dataDxfId="123"/>
    <tableColumn id="29" xr3:uid="{93606AFB-108E-4FE1-895A-71BB6F3DF64F}" uniqueName="29" name="PARAMETER.CHEMISTRY.MUFV_PARAMETER" queryTableFieldId="29" dataDxfId="122"/>
    <tableColumn id="30" xr3:uid="{F78B4E58-D201-4664-9FA5-DFB52507CB65}" uniqueName="30" name="PARAMETER.CHEMISTRY.ASBEST" queryTableFieldId="30" dataDxfId="121"/>
    <tableColumn id="31" xr3:uid="{14D629DF-C709-4790-82B1-CF18C3C6D43E}" uniqueName="31" name="PARAMETER.CHEMISTRY.KMF" queryTableFieldId="31" dataDxfId="120"/>
    <tableColumn id="32" xr3:uid="{0F0061C7-0951-41B7-87CF-A6950CCB314E}" uniqueName="32" name="PARAMETER.CHEMISTRY.PAK" queryTableFieldId="32" dataDxfId="119"/>
    <tableColumn id="33" xr3:uid="{2F939509-A19C-4906-8FC2-BCF88B19BE05}" uniqueName="33" name="PARAMETER.CHEMISTRY.PCB" queryTableFieldId="33" dataDxfId="118"/>
    <tableColumn id="34" xr3:uid="{03BF367E-3FCF-4ECC-A100-B8012E65F100}" uniqueName="34" name="PARAMETER.CHEMISTRY.BTEX" queryTableFieldId="34" dataDxfId="117"/>
    <tableColumn id="35" xr3:uid="{BA3BECE2-FE5C-47CC-970C-F106E733A380}" uniqueName="35" name="PARAMETER.CHEMISTRY.EOX" queryTableFieldId="35" dataDxfId="116"/>
    <tableColumn id="36" xr3:uid="{629BC31F-3BD7-41C8-AEAB-17B0A80F2C92}" uniqueName="36" name="PARAMETER.CHEMISTRY.PHENOLE" queryTableFieldId="36" dataDxfId="115"/>
    <tableColumn id="37" xr3:uid="{68813B17-BB65-4926-BE6A-4716BE7DB98C}" uniqueName="37" name="PARAMETER.CHEMISTRY.ICP_SCREENING" queryTableFieldId="37" dataDxfId="114"/>
    <tableColumn id="38" xr3:uid="{EE16B3EF-DECD-42F8-890C-2C830D731663}" uniqueName="38" name="PARAMETER.CHEMISTRY.MKW_C10_C22" queryTableFieldId="38" dataDxfId="113"/>
    <tableColumn id="39" xr3:uid="{5ABF636F-5B8F-4034-8610-2DCB1D4E5DAB}" uniqueName="39" name="PARAMETER.CHEMISTRY.MKW_C10_C40" queryTableFieldId="39" dataDxfId="112"/>
    <tableColumn id="40" xr3:uid="{8B7F21F1-6D87-4C4E-843F-DEF943284D33}" uniqueName="40" name="PARAMETER.CHEMISTRY.SULFAT" queryTableFieldId="40" dataDxfId="111"/>
    <tableColumn id="41" xr3:uid="{4998777B-9E4E-4BC9-B317-43F694B0F669}" uniqueName="41" name="PARAMETER.CHEMISTRY.ALTHOLZ_VERORDNUNG" queryTableFieldId="41" dataDxfId="110"/>
    <tableColumn id="42" xr3:uid="{2FF936F5-EAC8-48B4-9AA7-737B3728B063}" uniqueName="42" name="PARAMETER.CHEMISTRY.FCKW" queryTableFieldId="42" dataDxfId="109"/>
    <tableColumn id="43" xr3:uid="{FDFBEC0C-E165-43F8-9120-B73BD468C297}" uniqueName="43" name="PARAMETER.CHEMISTRY.HBCD" queryTableFieldId="43" dataDxfId="108"/>
    <tableColumn id="44" xr3:uid="{43420AA0-A5F4-4F3B-8341-DC45675A9502}" uniqueName="44" name="PARAMETER.CHEMISTRY.LAGA_BO" queryTableFieldId="44" dataDxfId="107"/>
    <tableColumn id="45" xr3:uid="{58F1740F-4C9F-431F-9219-439DD02CECC4}" uniqueName="45" name="PARAMETER.CHEMISTRY.LAGA_RC" queryTableFieldId="45" dataDxfId="106"/>
    <tableColumn id="46" xr3:uid="{60A31DD1-B933-49AA-B154-8C44FA3D3F2F}" uniqueName="46" name="PARAMETER.CHEMISTRY.LAGA_RC_ORIENTIERUNGSWERT" queryTableFieldId="46" dataDxfId="105"/>
    <tableColumn id="47" xr3:uid="{5D44EE28-B9E3-48A0-A2BA-B4E23CE1C2F1}" uniqueName="47" name="PARAMETER.CHEMISTRY.TL_GESTEIN" queryTableFieldId="47" dataDxfId="104"/>
    <tableColumn id="48" xr3:uid="{1639B7A6-5F78-42FC-A430-E662E0FF3BEE}" uniqueName="48" name="PARAMETER.CHEMISTRY.DEPV" queryTableFieldId="48" dataDxfId="103"/>
    <tableColumn id="49" xr3:uid="{6B10F78D-E8F9-41E6-B732-58683EAA26B4}" uniqueName="49" name="PARAMETER.CHEMISTRY.ENTSCHEIDUNGSHILFE" queryTableFieldId="49" dataDxfId="102"/>
    <tableColumn id="50" xr3:uid="{8E2DB51E-5F76-470A-A87D-FB1FE1BEEC83}" uniqueName="50" name="PARAMETER.CHEMISTRY.REKU" queryTableFieldId="50" dataDxfId="101"/>
    <tableColumn id="51" xr3:uid="{C4DE7668-10FF-47BD-8618-85556FE90926}" uniqueName="51" name="PARAMETER.CHEMISTRY.RUVA" queryTableFieldId="51" dataDxfId="100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9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9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6"/>
    <tableColumn id="27" xr3:uid="{902891BF-4C44-4429-AE57-3AAD8935F399}" uniqueName="27" name="PARAMETER.CHEMISTRY.MUFV" queryTableFieldId="27" dataDxfId="95"/>
    <tableColumn id="28" xr3:uid="{0163579B-8675-4915-B82E-5DDFFC21F068}" uniqueName="28" name="PARAMETER.CHEMISTRY.MUFV_PARAMETER" queryTableFieldId="28" dataDxfId="94"/>
    <tableColumn id="29" xr3:uid="{3E687AF0-BFDA-4066-8D85-AC750FB27FDA}" uniqueName="29" name="PARAMETER.CHEMISTRY.ASBEST" queryTableFieldId="29" dataDxfId="93"/>
    <tableColumn id="30" xr3:uid="{71C9984E-D894-44FC-9976-9D93D2D21604}" uniqueName="30" name="PARAMETER.CHEMISTRY.KMF" queryTableFieldId="30" dataDxfId="92"/>
    <tableColumn id="31" xr3:uid="{8B4C8DA6-6572-4699-A05F-09F5E4C19362}" uniqueName="31" name="PARAMETER.CHEMISTRY.PAK" queryTableFieldId="31" dataDxfId="91"/>
    <tableColumn id="32" xr3:uid="{B9B85D41-AFCE-4533-B5E6-24125385408D}" uniqueName="32" name="PARAMETER.CHEMISTRY.PCB" queryTableFieldId="32" dataDxfId="90"/>
    <tableColumn id="33" xr3:uid="{F4507179-85F8-426A-A8E6-400631C082EF}" uniqueName="33" name="PARAMETER.CHEMISTRY.BTEX" queryTableFieldId="33" dataDxfId="89"/>
    <tableColumn id="34" xr3:uid="{F3FA9695-3EFB-421B-9F14-E940B7BAEE97}" uniqueName="34" name="PARAMETER.CHEMISTRY.EOX" queryTableFieldId="34" dataDxfId="88"/>
    <tableColumn id="35" xr3:uid="{CA6C8245-C111-46C2-9973-26638FB0340B}" uniqueName="35" name="PARAMETER.CHEMISTRY.PHENOLE" queryTableFieldId="35" dataDxfId="87"/>
    <tableColumn id="36" xr3:uid="{55CE9F12-B661-4590-8250-B3BFBF790071}" uniqueName="36" name="PARAMETER.CHEMISTRY.ICP_SCREENING" queryTableFieldId="36" dataDxfId="86"/>
    <tableColumn id="37" xr3:uid="{D164A852-28EB-4196-B9BD-1F98D08D34C5}" uniqueName="37" name="PARAMETER.CHEMISTRY.MKW_C10_C22" queryTableFieldId="37" dataDxfId="85"/>
    <tableColumn id="38" xr3:uid="{297CC18C-733C-440E-806A-C6A285362C3F}" uniqueName="38" name="PARAMETER.CHEMISTRY.MKW_C10_C40" queryTableFieldId="38" dataDxfId="84"/>
    <tableColumn id="39" xr3:uid="{080E079B-0396-48D3-8E4D-F432AA3CE2B6}" uniqueName="39" name="PARAMETER.CHEMISTRY.SULFAT" queryTableFieldId="39" dataDxfId="83"/>
    <tableColumn id="40" xr3:uid="{0F406AE1-339B-449F-B1B8-F8BDD57E1A1E}" uniqueName="40" name="PARAMETER.CHEMISTRY.ALTHOLZ_VERORDNUNG" queryTableFieldId="40" dataDxfId="82"/>
    <tableColumn id="41" xr3:uid="{4F984E01-9D95-4FF1-A5E7-7AFCE5900571}" uniqueName="41" name="PARAMETER.CHEMISTRY.FCKW" queryTableFieldId="41" dataDxfId="81"/>
    <tableColumn id="42" xr3:uid="{CD504F65-4317-4929-A9B0-3E95534C4D14}" uniqueName="42" name="PARAMETER.CHEMISTRY.HBCD" queryTableFieldId="42" dataDxfId="80"/>
    <tableColumn id="43" xr3:uid="{EBC9A661-FC40-4D4E-9852-FCCDDB64CEFE}" uniqueName="43" name="PARAMETER.CHEMISTRY.LAGA_BO" queryTableFieldId="43" dataDxfId="79"/>
    <tableColumn id="44" xr3:uid="{87F8EBEA-4032-4611-B364-574506B13F1D}" uniqueName="44" name="PARAMETER.CHEMISTRY.LAGA_RC" queryTableFieldId="44" dataDxfId="78"/>
    <tableColumn id="45" xr3:uid="{D1FA07D6-1F78-4552-AAC1-A43F8A241C15}" uniqueName="45" name="PARAMETER.CHEMISTRY.LAGA_RC_ORIENTIERUNGSWERT" queryTableFieldId="45" dataDxfId="77"/>
    <tableColumn id="46" xr3:uid="{EE9E9F84-F22A-4D36-9E69-73379F14B8AC}" uniqueName="46" name="PARAMETER.CHEMISTRY.TL_GESTEIN" queryTableFieldId="46" dataDxfId="76"/>
    <tableColumn id="47" xr3:uid="{61C447EC-A975-407A-AC35-08B9EBA86685}" uniqueName="47" name="PARAMETER.CHEMISTRY.DEPV" queryTableFieldId="47" dataDxfId="75"/>
    <tableColumn id="48" xr3:uid="{C658E730-A7C7-4CE8-ABF0-9884889D6E2C}" uniqueName="48" name="PARAMETER.CHEMISTRY.ENTSCHEIDUNGSHILFE" queryTableFieldId="48" dataDxfId="74"/>
    <tableColumn id="49" xr3:uid="{0E2F03C5-E7E3-4E58-95F2-1B5CCF153376}" uniqueName="49" name="PARAMETER.CHEMISTRY.REKU" queryTableFieldId="49" dataDxfId="73"/>
    <tableColumn id="50" xr3:uid="{D490B33E-7ED1-4745-AFE3-BC2A63A7AA99}" uniqueName="50" name="PARAMETER.CHEMISTRY.RUVA" queryTableFieldId="50" dataDxfId="7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6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8"/>
    <tableColumn id="71" xr3:uid="{B2B0DC0A-4F06-4037-BF53-4869770EDC23}" uniqueName="71" name="PARAMETER.LP.EV2" queryTableFieldId="71" dataDxfId="6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6"/>
    <tableColumn id="77" xr3:uid="{BE683E9B-8FDA-40E0-9D5F-6DE1618EE920}" uniqueName="77" name="PARAMETER.CHEMISTRY.ID" queryTableFieldId="77" dataDxfId="65"/>
    <tableColumn id="78" xr3:uid="{49EFDBAC-19CC-4661-B008-77A9DBA07868}" uniqueName="78" name="PARAMETER.CHEMISTRY.MUFV" queryTableFieldId="78" dataDxfId="64"/>
    <tableColumn id="79" xr3:uid="{0715B054-3D90-4ECF-B353-252F004A4F5B}" uniqueName="79" name="PARAMETER.CHEMISTRY.MUFV_PARAMETER" queryTableFieldId="79" dataDxfId="63"/>
    <tableColumn id="80" xr3:uid="{36C55A8A-64FA-4C3C-813E-1FD0EBF52AA9}" uniqueName="80" name="PARAMETER.CHEMISTRY.ASBEST" queryTableFieldId="80" dataDxfId="62"/>
    <tableColumn id="81" xr3:uid="{62A408EB-C7AA-45EB-8EF4-A2E1ECC4C3CC}" uniqueName="81" name="PARAMETER.CHEMISTRY.KMF" queryTableFieldId="81" dataDxfId="61"/>
    <tableColumn id="82" xr3:uid="{62ED9188-F645-41A3-88F0-129B28CEF72F}" uniqueName="82" name="PARAMETER.CHEMISTRY.PAK" queryTableFieldId="82" dataDxfId="60"/>
    <tableColumn id="83" xr3:uid="{19B27EF8-A549-4C1F-9B42-9D430FCAFDFD}" uniqueName="83" name="PARAMETER.CHEMISTRY.PCB" queryTableFieldId="83" dataDxfId="59"/>
    <tableColumn id="84" xr3:uid="{408F9534-9EE6-4547-B5B1-2FBF85B7945F}" uniqueName="84" name="PARAMETER.CHEMISTRY.BTEX" queryTableFieldId="84" dataDxfId="58"/>
    <tableColumn id="85" xr3:uid="{F57E53A5-8FAA-486C-B91D-D459D982FF1A}" uniqueName="85" name="PARAMETER.CHEMISTRY.EOX" queryTableFieldId="85" dataDxfId="57"/>
    <tableColumn id="86" xr3:uid="{D5193380-2EA0-4671-B593-292D080CD9AF}" uniqueName="86" name="PARAMETER.CHEMISTRY.PHENOLE" queryTableFieldId="86" dataDxfId="56"/>
    <tableColumn id="87" xr3:uid="{70FBACBD-54B9-4FF4-98E6-304083C2881B}" uniqueName="87" name="PARAMETER.CHEMISTRY.ICP_SCREENING" queryTableFieldId="87" dataDxfId="55"/>
    <tableColumn id="88" xr3:uid="{8DC2F49B-FB91-43C4-B144-9D71FD8DE9DA}" uniqueName="88" name="PARAMETER.CHEMISTRY.MKW_C10_C22" queryTableFieldId="88" dataDxfId="54"/>
    <tableColumn id="89" xr3:uid="{8C619B32-F2ED-4154-A971-E54C0533BE46}" uniqueName="89" name="PARAMETER.CHEMISTRY.MKW_C10_C40" queryTableFieldId="89" dataDxfId="53"/>
    <tableColumn id="90" xr3:uid="{CBEF3DD2-C9EF-49A2-84C8-2AED4407ED4B}" uniqueName="90" name="PARAMETER.CHEMISTRY.SULFAT" queryTableFieldId="90" dataDxfId="52"/>
    <tableColumn id="91" xr3:uid="{FEA55896-E766-49D4-90F2-914EEDCB0AB2}" uniqueName="91" name="PARAMETER.CHEMISTRY.ALTHOLZ_VERORDNUNG" queryTableFieldId="91" dataDxfId="51"/>
    <tableColumn id="92" xr3:uid="{E7F2BD8B-E27A-4B4F-8A49-93F8BD7D18A0}" uniqueName="92" name="PARAMETER.CHEMISTRY.FCKW" queryTableFieldId="92" dataDxfId="50"/>
    <tableColumn id="93" xr3:uid="{816AEC63-0DEE-4627-8FC7-0E38BBD3281A}" uniqueName="93" name="PARAMETER.CHEMISTRY.HBCD" queryTableFieldId="93" dataDxfId="49"/>
    <tableColumn id="94" xr3:uid="{5D8D0448-FD28-4E36-B3BC-27D314DF815B}" uniqueName="94" name="PARAMETER.CHEMISTRY.LAGA_BO" queryTableFieldId="94" dataDxfId="48"/>
    <tableColumn id="95" xr3:uid="{B9F3D638-C332-49F7-8927-86D91BAC52D8}" uniqueName="95" name="PARAMETER.CHEMISTRY.LAGA_RC" queryTableFieldId="95" dataDxfId="47"/>
    <tableColumn id="96" xr3:uid="{732D813B-F681-4A3D-9F90-E49CDE81F912}" uniqueName="96" name="PARAMETER.CHEMISTRY.LAGA_RC_ORIENTIERUNGSWERT" queryTableFieldId="96" dataDxfId="46"/>
    <tableColumn id="97" xr3:uid="{49B9CC8A-0EFC-4D0B-A20F-E8A8AE5A5B99}" uniqueName="97" name="PARAMETER.CHEMISTRY.TL_GESTEIN" queryTableFieldId="97" dataDxfId="45"/>
    <tableColumn id="98" xr3:uid="{16CD09D6-B40B-4446-A277-4972A7E14642}" uniqueName="98" name="PARAMETER.CHEMISTRY.DEPV" queryTableFieldId="98" dataDxfId="44"/>
    <tableColumn id="99" xr3:uid="{26DD249C-F520-4939-A0C4-C280C03D0BAE}" uniqueName="99" name="PARAMETER.CHEMISTRY.ENTSCHEIDUNGSHILFE" queryTableFieldId="99" dataDxfId="43"/>
    <tableColumn id="100" xr3:uid="{43436799-932D-409B-93DB-A33E627D925B}" uniqueName="100" name="PARAMETER.CHEMISTRY.REKU" queryTableFieldId="100" dataDxfId="42"/>
    <tableColumn id="101" xr3:uid="{4D536224-BE38-42C2-B331-302398CC0060}" uniqueName="101" name="PARAMETER.CHEMISTRY.RUVA" queryTableFieldId="101" dataDxfId="4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3" totalsRowShown="0">
  <autoFilter ref="A1:AA3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39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38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3" totalsRowShown="0">
  <autoFilter ref="A1:J3" xr:uid="{C5B5D589-DA93-4F14-A4A4-7B60407AADCF}"/>
  <tableColumns count="10">
    <tableColumn id="1" xr3:uid="{4F88403B-0C27-4180-BCBE-62627665E7D8}" name="ID" dataDxfId="37">
      <calculatedColumnFormula>"LP"&amp;ROW()-1</calculatedColumnFormula>
    </tableColumn>
    <tableColumn id="2" xr3:uid="{51F153C6-5FF1-44FD-B39F-464F5777D26F}" name="NUMMER" dataDxfId="36">
      <calculatedColumnFormula>ROW()-1</calculatedColumnFormula>
    </tableColumn>
    <tableColumn id="3" xr3:uid="{D635D0C6-EC46-4499-87D8-E68BA2217AC3}" name="WERT_1" dataDxfId="35"/>
    <tableColumn id="4" xr3:uid="{EB4DDFA1-C89E-49B6-A6D9-3E4EE912B328}" name="WERT_2" dataDxfId="34"/>
    <tableColumn id="5" xr3:uid="{675180B4-A186-4E41-9A3F-809597A2D137}" name="WERT_3" dataDxfId="33"/>
    <tableColumn id="6" xr3:uid="{1BCD8931-601C-4036-97BE-6890E0BB8E1A}" name="MITTELWERT" dataDxfId="32">
      <calculatedColumnFormula>IFERROR(AVERAGE(Lp.Table[[#This Row],[WERT_1]:[WERT_3]]),"")</calculatedColumnFormula>
    </tableColumn>
    <tableColumn id="7" xr3:uid="{E52EA34C-9206-4F8E-ADA8-4882EB8536D2}" name="EV" dataDxfId="31">
      <calculatedColumnFormula>IFERROR(ROUND(22.5/Lp.Table[[#This Row],[MITTELWERT]],1),"")</calculatedColumnFormula>
    </tableColumn>
    <tableColumn id="8" xr3:uid="{F82604BB-DC28-42BD-A51D-F8A987DCA29B}" name="EV85" dataDxfId="30">
      <calculatedColumnFormula>IFERROR(ROUND(Lp.Table[[#This Row],[EV]]*0.85,0),"")</calculatedColumnFormula>
    </tableColumn>
    <tableColumn id="9" xr3:uid="{DAF46846-3846-48E2-BAD5-98185ED0BC6A}" name="EV2" dataDxfId="29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28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G2" totalsRowShown="0">
  <autoFilter ref="A1:AG2" xr:uid="{AB98E13D-EE76-407A-9E41-2FEB0148ED29}"/>
  <tableColumns count="33">
    <tableColumn id="1" xr3:uid="{694A277F-BFC2-43E2-BA7B-9942E6414962}" name="ID"/>
    <tableColumn id="3" xr3:uid="{902726AA-755D-453F-843E-F3D3F46C8599}" name="TYPE" dataDxfId="27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6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5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3" totalsRowShown="0" headerRowDxfId="23">
  <autoFilter ref="A1:AE3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5">
    <tabColor theme="0"/>
  </sheetPr>
  <dimension ref="A1:AA3"/>
  <sheetViews>
    <sheetView workbookViewId="0">
      <pane xSplit="1" topLeftCell="B1" activePane="topRight" state="frozen"/>
      <selection activeCell="M31" sqref="M31"/>
      <selection pane="topRight" activeCell="V8" sqref="V8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 t="shared" ref="A3" si="0">"C"&amp;ROW()-2</f>
        <v>C1</v>
      </c>
      <c r="B3" t="s">
        <v>238</v>
      </c>
      <c r="D3" t="s">
        <v>243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 t="s">
        <v>409</v>
      </c>
      <c r="P3">
        <v>1</v>
      </c>
      <c r="Q3">
        <v>1</v>
      </c>
      <c r="R3" t="s">
        <v>221</v>
      </c>
      <c r="S3" t="s">
        <v>221</v>
      </c>
      <c r="T3" t="s">
        <v>240</v>
      </c>
      <c r="U3" t="s">
        <v>270</v>
      </c>
      <c r="V3" t="s">
        <v>223</v>
      </c>
      <c r="W3" t="s">
        <v>242</v>
      </c>
      <c r="X3" t="s">
        <v>5</v>
      </c>
      <c r="Y3">
        <v>1</v>
      </c>
      <c r="AA3" t="s">
        <v>240</v>
      </c>
    </row>
  </sheetData>
  <phoneticPr fontId="1" type="noConversion"/>
  <dataValidations count="13">
    <dataValidation type="list" allowBlank="1" showInputMessage="1" showErrorMessage="1" sqref="AU4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4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4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4:AC1048576" xr:uid="{2A8510B3-2121-45A3-ADEB-4616CFB015E8}">
      <formula1>DEPV_AUSWAHL</formula1>
    </dataValidation>
    <dataValidation type="list" allowBlank="1" showErrorMessage="1" sqref="D2:D3" xr:uid="{310B5C64-E75B-48B0-A433-987ACC6A4389}">
      <formula1>"nachweisbar, nicht nachweisbar"</formula1>
    </dataValidation>
    <dataValidation type="list" allowBlank="1" showInputMessage="1" showErrorMessage="1" sqref="O2:O3" xr:uid="{BE8A61CA-55EE-44EB-B6CC-F3311FC218FB}">
      <formula1>"auffällig, nicht auffällig"</formula1>
    </dataValidation>
    <dataValidation type="list" allowBlank="1" showInputMessage="1" showErrorMessage="1" sqref="AA2:AA23 AB2:AB13 T2:T3 X2:X3" xr:uid="{0C1B8A6C-111C-4A71-B7CB-19BBB7CA01B8}">
      <formula1>"eingehalten, nicht eingehalten"</formula1>
    </dataValidation>
    <dataValidation type="list" allowBlank="1" showInputMessage="1" showErrorMessage="1" sqref="W2:W3" xr:uid="{BBFD99F8-4F98-4551-92EF-03D41A8C6CE6}">
      <formula1>"Spalte 5, DK1, DK2"</formula1>
    </dataValidation>
    <dataValidation type="list" allowBlank="1" showInputMessage="1" showErrorMessage="1" sqref="V2:V3" xr:uid="{2794A249-3D56-44F3-BA92-18A27C5E4D87}">
      <formula1>"DK0, DK1, DK2, DK3, &gt;DK3"</formula1>
    </dataValidation>
    <dataValidation type="list" allowBlank="1" showInputMessage="1" showErrorMessage="1" sqref="U2:U3" xr:uid="{1E602BBC-AD99-4DA7-85B3-EFB0009D9C54}">
      <formula1>"RC1, RC2, RC3, &gt;RC3"</formula1>
    </dataValidation>
    <dataValidation type="list" allowBlank="1" showInputMessage="1" showErrorMessage="1" sqref="R2:S3" xr:uid="{FA06BEE0-3E9C-4195-BDEB-FDE18FB3A0C9}">
      <formula1>"Z0, Z0*, Z1.1, Z1.2, Z2, &gt;Z2"</formula1>
    </dataValidation>
    <dataValidation type="list" allowBlank="1" showInputMessage="1" showErrorMessage="1" sqref="B2:B3" xr:uid="{806BF5FA-2DF4-40CC-B5FC-B827A2275773}">
      <formula1>"gefährlich, nicht gefährlich, Auffälligkeit, keine Auffälligkeit"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6">
    <tabColor theme="0"/>
  </sheetPr>
  <dimension ref="A1:D12"/>
  <sheetViews>
    <sheetView workbookViewId="0">
      <selection activeCell="B2" sqref="B2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4">
        <v>77</v>
      </c>
    </row>
    <row r="8" spans="1:4" x14ac:dyDescent="0.25">
      <c r="A8" s="1"/>
    </row>
    <row r="9" spans="1:4" x14ac:dyDescent="0.25">
      <c r="A9" s="1"/>
    </row>
    <row r="10" spans="1:4" x14ac:dyDescent="0.25">
      <c r="A10" s="1"/>
    </row>
    <row r="11" spans="1:4" x14ac:dyDescent="0.25">
      <c r="A11" s="1"/>
    </row>
    <row r="12" spans="1:4" x14ac:dyDescent="0.25">
      <c r="A12" s="1"/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7">
    <tabColor theme="0"/>
  </sheetPr>
  <dimension ref="A1:J23"/>
  <sheetViews>
    <sheetView tabSelected="1" zoomScaleNormal="100" workbookViewId="0">
      <selection activeCell="L11" sqref="L11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3">
        <v>0.42</v>
      </c>
      <c r="D2" s="3">
        <v>0.39</v>
      </c>
      <c r="E2" s="3">
        <v>0.39</v>
      </c>
      <c r="F2" s="5">
        <f>IFERROR(AVERAGE(Lp.Table[[#This Row],[WERT_1]:[WERT_3]]),"")</f>
        <v>0.40000000000000008</v>
      </c>
      <c r="G2">
        <f>IFERROR(ROUND(22.5/Lp.Table[[#This Row],[MITTELWERT]],1),"")</f>
        <v>56.3</v>
      </c>
      <c r="H2" s="6">
        <f>IFERROR(ROUND(Lp.Table[[#This Row],[EV]]*0.85,0),"")</f>
        <v>48</v>
      </c>
      <c r="I2" s="6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12</v>
      </c>
      <c r="D3" s="3">
        <v>23</v>
      </c>
      <c r="E3" s="3">
        <v>3</v>
      </c>
      <c r="F3" s="5">
        <f>IFERROR(AVERAGE(Lp.Table[[#This Row],[WERT_1]:[WERT_3]]),"")</f>
        <v>12.666666666666666</v>
      </c>
      <c r="G3" s="1">
        <f>IFERROR(ROUND(22.5/Lp.Table[[#This Row],[MITTELWERT]],1),"")</f>
        <v>1.8</v>
      </c>
      <c r="H3" s="6">
        <f>IFERROR(ROUND(Lp.Table[[#This Row],[EV]]*0.85,0),"")</f>
        <v>2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123</v>
      </c>
    </row>
    <row r="4" spans="1:10" x14ac:dyDescent="0.25">
      <c r="A4" s="1"/>
      <c r="B4" s="1"/>
      <c r="C4" s="3"/>
      <c r="D4" s="3"/>
      <c r="E4" s="3"/>
      <c r="J4" s="1"/>
    </row>
    <row r="5" spans="1:10" x14ac:dyDescent="0.25">
      <c r="A5" s="1"/>
      <c r="B5" s="1"/>
      <c r="C5" s="3"/>
      <c r="D5" s="3"/>
      <c r="E5" s="3"/>
      <c r="J5" s="1"/>
    </row>
    <row r="6" spans="1:10" x14ac:dyDescent="0.25">
      <c r="A6" s="1"/>
      <c r="B6" s="1"/>
      <c r="C6" s="3"/>
      <c r="D6" s="3"/>
      <c r="E6" s="3"/>
      <c r="J6" s="1"/>
    </row>
    <row r="7" spans="1:10" x14ac:dyDescent="0.25">
      <c r="A7" s="1"/>
      <c r="B7" s="1"/>
      <c r="C7" s="3"/>
      <c r="D7" s="3"/>
      <c r="E7" s="3"/>
      <c r="J7" s="1"/>
    </row>
    <row r="8" spans="1:10" x14ac:dyDescent="0.25">
      <c r="A8" s="1"/>
      <c r="B8" s="1"/>
      <c r="C8" s="3"/>
      <c r="D8" s="3"/>
      <c r="E8" s="3"/>
      <c r="J8" s="1"/>
    </row>
    <row r="9" spans="1:10" x14ac:dyDescent="0.25">
      <c r="A9" s="1"/>
      <c r="B9" s="1"/>
      <c r="C9" s="3"/>
      <c r="D9" s="3"/>
      <c r="E9" s="3"/>
      <c r="J9" s="1"/>
    </row>
    <row r="10" spans="1:10" x14ac:dyDescent="0.25">
      <c r="A10" s="1"/>
      <c r="B10" s="1"/>
      <c r="C10" s="3"/>
      <c r="D10" s="3"/>
      <c r="E10" s="3"/>
      <c r="J10" s="1"/>
    </row>
    <row r="11" spans="1:10" x14ac:dyDescent="0.25">
      <c r="A11" s="1"/>
      <c r="B11" s="1"/>
      <c r="C11" s="3"/>
      <c r="D11" s="3"/>
      <c r="E11" s="3"/>
      <c r="J11" s="1"/>
    </row>
    <row r="12" spans="1:10" x14ac:dyDescent="0.25">
      <c r="A12" s="1"/>
      <c r="B12" s="1"/>
      <c r="C12" s="3"/>
      <c r="D12" s="3"/>
      <c r="E12" s="3"/>
      <c r="J12" s="1"/>
    </row>
    <row r="13" spans="1:10" x14ac:dyDescent="0.25">
      <c r="A13" s="1"/>
      <c r="B13" s="1"/>
      <c r="C13" s="3"/>
      <c r="D13" s="3"/>
      <c r="E13" s="3"/>
      <c r="J13" s="1"/>
    </row>
    <row r="14" spans="1:10" x14ac:dyDescent="0.25">
      <c r="A14" s="1"/>
      <c r="B14" s="1"/>
      <c r="C14" s="3"/>
      <c r="D14" s="3"/>
      <c r="E14" s="3"/>
      <c r="J14" s="1"/>
    </row>
    <row r="15" spans="1:10" x14ac:dyDescent="0.25">
      <c r="A15" s="1"/>
      <c r="B15" s="1"/>
      <c r="C15" s="3"/>
      <c r="D15" s="3"/>
      <c r="E15" s="3"/>
      <c r="J15" s="1"/>
    </row>
    <row r="16" spans="1:10" x14ac:dyDescent="0.25">
      <c r="A16" s="1"/>
      <c r="B16" s="1"/>
      <c r="C16" s="3"/>
      <c r="D16" s="3"/>
      <c r="E16" s="3"/>
      <c r="J16" s="1"/>
    </row>
    <row r="17" spans="1:10" x14ac:dyDescent="0.25">
      <c r="A17" s="1"/>
      <c r="B17" s="1"/>
      <c r="C17" s="3"/>
      <c r="D17" s="3"/>
      <c r="E17" s="3"/>
      <c r="J17" s="1"/>
    </row>
    <row r="18" spans="1:10" x14ac:dyDescent="0.25">
      <c r="A18" s="1"/>
      <c r="B18" s="1"/>
      <c r="C18" s="3"/>
      <c r="D18" s="3"/>
      <c r="E18" s="3"/>
      <c r="J18" s="1"/>
    </row>
    <row r="19" spans="1:10" x14ac:dyDescent="0.25">
      <c r="A19" s="1"/>
      <c r="B19" s="1"/>
      <c r="C19" s="3"/>
      <c r="D19" s="3"/>
      <c r="E19" s="3"/>
      <c r="J19" s="1"/>
    </row>
    <row r="20" spans="1:10" x14ac:dyDescent="0.25">
      <c r="A20" s="1"/>
      <c r="B20" s="1"/>
      <c r="C20" s="3"/>
      <c r="D20" s="3"/>
      <c r="E20" s="3"/>
      <c r="J20" s="1"/>
    </row>
    <row r="21" spans="1:10" x14ac:dyDescent="0.25">
      <c r="A21" s="1"/>
      <c r="B21" s="1"/>
      <c r="C21" s="3"/>
      <c r="D21" s="3"/>
      <c r="E21" s="3"/>
      <c r="J21" s="1"/>
    </row>
    <row r="22" spans="1:10" x14ac:dyDescent="0.25">
      <c r="A22" s="1"/>
      <c r="B22" s="1"/>
      <c r="C22" s="3"/>
      <c r="D22" s="3"/>
      <c r="E22" s="3"/>
    </row>
    <row r="23" spans="1:10" x14ac:dyDescent="0.25">
      <c r="A23" s="1"/>
      <c r="B23" s="1"/>
      <c r="C23" s="3"/>
      <c r="D23" s="3"/>
      <c r="E23" s="3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8">
    <tabColor theme="7" tint="0.39997558519241921"/>
  </sheetPr>
  <dimension ref="A1:AG24"/>
  <sheetViews>
    <sheetView workbookViewId="0">
      <pane xSplit="1" topLeftCell="B1" activePane="topRight" state="frozen"/>
      <selection activeCell="F37" sqref="F37"/>
      <selection pane="topRight" activeCell="G2" sqref="G2"/>
    </sheetView>
  </sheetViews>
  <sheetFormatPr defaultColWidth="11.42578125" defaultRowHeight="15" x14ac:dyDescent="0.25"/>
  <cols>
    <col min="1" max="1" width="5.140625" bestFit="1" customWidth="1"/>
    <col min="2" max="2" width="13.5703125" hidden="1" customWidth="1"/>
    <col min="3" max="3" width="12" bestFit="1" customWidth="1"/>
    <col min="4" max="4" width="10.7109375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5.42578125" bestFit="1" customWidth="1"/>
    <col min="25" max="25" width="15.140625" customWidth="1"/>
    <col min="26" max="32" width="15" bestFit="1" customWidth="1"/>
    <col min="33" max="33" width="16" bestFit="1" customWidth="1"/>
  </cols>
  <sheetData>
    <row r="1" spans="1:33" x14ac:dyDescent="0.25">
      <c r="A1" s="16" t="s">
        <v>7</v>
      </c>
      <c r="B1" s="16" t="s">
        <v>467</v>
      </c>
      <c r="C1" s="16" t="s">
        <v>8</v>
      </c>
      <c r="D1" s="17" t="s">
        <v>9</v>
      </c>
      <c r="E1" s="18" t="s">
        <v>10</v>
      </c>
      <c r="F1" s="18" t="s">
        <v>11</v>
      </c>
      <c r="G1" s="18" t="s">
        <v>29</v>
      </c>
      <c r="H1" s="18" t="s">
        <v>30</v>
      </c>
      <c r="I1" s="18" t="s">
        <v>31</v>
      </c>
      <c r="J1" s="18" t="s">
        <v>32</v>
      </c>
      <c r="K1" s="18" t="s">
        <v>33</v>
      </c>
      <c r="L1" s="18" t="s">
        <v>34</v>
      </c>
      <c r="M1" s="18" t="s">
        <v>35</v>
      </c>
      <c r="N1" s="18" t="s">
        <v>36</v>
      </c>
      <c r="O1" s="18" t="s">
        <v>37</v>
      </c>
      <c r="P1" s="18" t="s">
        <v>38</v>
      </c>
      <c r="Q1" s="18" t="s">
        <v>39</v>
      </c>
      <c r="R1" s="18" t="s">
        <v>40</v>
      </c>
      <c r="S1" s="18" t="s">
        <v>41</v>
      </c>
      <c r="T1" s="18" t="s">
        <v>42</v>
      </c>
      <c r="U1" s="18" t="s">
        <v>43</v>
      </c>
      <c r="V1" s="18" t="s">
        <v>44</v>
      </c>
      <c r="W1" s="18" t="s">
        <v>45</v>
      </c>
      <c r="X1" s="10" t="s">
        <v>319</v>
      </c>
      <c r="Y1" s="10" t="s">
        <v>320</v>
      </c>
      <c r="Z1" s="10" t="s">
        <v>321</v>
      </c>
      <c r="AA1" s="10" t="s">
        <v>322</v>
      </c>
      <c r="AB1" s="10" t="s">
        <v>323</v>
      </c>
      <c r="AC1" s="10" t="s">
        <v>324</v>
      </c>
      <c r="AD1" s="10" t="s">
        <v>325</v>
      </c>
      <c r="AE1" s="10" t="s">
        <v>326</v>
      </c>
      <c r="AF1" s="10" t="s">
        <v>327</v>
      </c>
      <c r="AG1" s="10" t="s">
        <v>328</v>
      </c>
    </row>
    <row r="2" spans="1:33" x14ac:dyDescent="0.25">
      <c r="A2" t="s">
        <v>0</v>
      </c>
      <c r="B2" t="str">
        <f t="shared" ref="B2" si="0">"EXPLORATION"</f>
        <v>EXPLORATION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s="1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s="1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</row>
    <row r="3" spans="1:33" x14ac:dyDescent="0.25">
      <c r="D3" s="11"/>
      <c r="I3" s="12"/>
      <c r="O3" s="12"/>
    </row>
    <row r="4" spans="1:33" x14ac:dyDescent="0.25">
      <c r="B4" s="1"/>
      <c r="D4" s="11"/>
      <c r="I4" s="12"/>
      <c r="O4" s="12"/>
    </row>
    <row r="5" spans="1:33" x14ac:dyDescent="0.25">
      <c r="B5" s="1"/>
      <c r="D5" s="11"/>
      <c r="I5" s="12"/>
      <c r="O5" s="12"/>
    </row>
    <row r="6" spans="1:33" x14ac:dyDescent="0.25">
      <c r="B6" s="1"/>
      <c r="D6" s="11"/>
      <c r="I6" s="12"/>
      <c r="O6" s="12"/>
    </row>
    <row r="7" spans="1:33" x14ac:dyDescent="0.25">
      <c r="B7" s="1"/>
      <c r="D7" s="11"/>
      <c r="I7" s="12"/>
      <c r="O7" s="12"/>
    </row>
    <row r="8" spans="1:33" x14ac:dyDescent="0.25">
      <c r="B8" s="1"/>
      <c r="D8" s="11"/>
      <c r="I8" s="12"/>
      <c r="O8" s="12"/>
    </row>
    <row r="9" spans="1:33" x14ac:dyDescent="0.25">
      <c r="B9" s="1"/>
      <c r="D9" s="11"/>
      <c r="I9" s="12"/>
      <c r="O9" s="12"/>
    </row>
    <row r="10" spans="1:33" x14ac:dyDescent="0.25">
      <c r="B10" s="1"/>
    </row>
    <row r="11" spans="1:33" x14ac:dyDescent="0.25">
      <c r="D11" s="11"/>
      <c r="I11" s="12"/>
      <c r="O11" s="12"/>
    </row>
    <row r="12" spans="1:33" x14ac:dyDescent="0.25">
      <c r="D12" s="11"/>
      <c r="I12" s="12"/>
      <c r="O12" s="12"/>
    </row>
    <row r="13" spans="1:33" x14ac:dyDescent="0.25">
      <c r="D13" s="11"/>
      <c r="I13" s="12"/>
      <c r="O13" s="12"/>
    </row>
    <row r="14" spans="1:33" x14ac:dyDescent="0.25">
      <c r="D14" s="11"/>
      <c r="I14" s="12"/>
      <c r="O14" s="12"/>
    </row>
    <row r="15" spans="1:33" x14ac:dyDescent="0.25">
      <c r="D15" s="11"/>
      <c r="I15" s="12"/>
      <c r="O15" s="12"/>
    </row>
    <row r="16" spans="1:33" x14ac:dyDescent="0.25">
      <c r="D16" s="11"/>
      <c r="I16" s="12"/>
      <c r="O16" s="12"/>
    </row>
    <row r="18" spans="4:15" x14ac:dyDescent="0.25">
      <c r="D18" s="11"/>
      <c r="I18" s="12"/>
      <c r="O18" s="12"/>
    </row>
    <row r="19" spans="4:15" x14ac:dyDescent="0.25">
      <c r="D19" s="11"/>
      <c r="I19" s="12"/>
      <c r="O19" s="12"/>
    </row>
    <row r="20" spans="4:15" x14ac:dyDescent="0.25">
      <c r="D20" s="11"/>
      <c r="I20" s="12"/>
      <c r="O20" s="12"/>
    </row>
    <row r="21" spans="4:15" x14ac:dyDescent="0.25">
      <c r="D21" s="11"/>
      <c r="I21" s="12"/>
      <c r="O21" s="12"/>
    </row>
    <row r="22" spans="4:15" x14ac:dyDescent="0.25">
      <c r="D22" s="11"/>
      <c r="I22" s="12"/>
      <c r="O22" s="12"/>
    </row>
    <row r="23" spans="4:15" x14ac:dyDescent="0.25">
      <c r="D23" s="11"/>
      <c r="I23" s="12"/>
      <c r="O23" s="12"/>
    </row>
    <row r="24" spans="4:15" x14ac:dyDescent="0.25">
      <c r="D24" s="11"/>
      <c r="I24" s="12"/>
      <c r="O24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1" xr:uid="{7F1FF105-03C1-449B-96C1-5DC380EDD8F5}"/>
    <dataValidation type="list" errorStyle="information" allowBlank="1" showInputMessage="1" sqref="X23 X25:X1048576 X17:X19 X15 X10:X11 X2:X4 X8" xr:uid="{7DA0F676-1112-4FDF-A639-37799EC1C942}">
      <formula1>FOOTNOTE_AUSWAHL</formula1>
    </dataValidation>
    <dataValidation type="list" allowBlank="1" showInputMessage="1" sqref="X24 X20:X22 X16 X12:X14 Y2:AG1048576 X9 X5:X7" xr:uid="{FE1F40CF-905C-4A1C-84F4-78C8900338D9}">
      <formula1>FOOTNOTE_AUSWAHL</formula1>
    </dataValidation>
    <dataValidation errorStyle="information" allowBlank="1" showInputMessage="1" sqref="X1" xr:uid="{68ADA6D7-3D37-48BA-88DB-4EFAC25AABB4}"/>
    <dataValidation allowBlank="1" showInputMessage="1" sqref="Y1:AG1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2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2:M1048576" xr:uid="{3B55915B-49DD-4566-A23C-E4418E081189}">
      <formula1>OBERKANTE_AUSWAHL</formula1>
    </dataValidation>
    <dataValidation type="list" allowBlank="1" showInputMessage="1" showErrorMessage="1" sqref="P2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2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2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9">
    <tabColor theme="7" tint="0.39997558519241921"/>
  </sheetPr>
  <dimension ref="A1:AE3"/>
  <sheetViews>
    <sheetView workbookViewId="0">
      <pane xSplit="9" topLeftCell="J1" activePane="topRight" state="frozen"/>
      <selection pane="topRight" activeCell="M13" sqref="M13"/>
    </sheetView>
  </sheetViews>
  <sheetFormatPr defaultRowHeight="15" x14ac:dyDescent="0.25"/>
  <cols>
    <col min="1" max="1" width="5.14062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348</v>
      </c>
      <c r="E2" t="s">
        <v>479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5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tr">
        <f>IF(Erkundungsstelle.Sample.Table[[#This Row],[PECH]]="JA","auffällig",IF(Erkundungsstelle.Sample.Table[[#This Row],[ART]]&lt;&gt;"","neutral",""))</f>
        <v>auffällig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  <row r="3" spans="1:31" x14ac:dyDescent="0.25">
      <c r="A3" t="str">
        <f t="shared" ref="A3" si="0">"SE"&amp;ROW()-1</f>
        <v>SE2</v>
      </c>
      <c r="B3" t="s">
        <v>0</v>
      </c>
      <c r="C3" t="s">
        <v>3</v>
      </c>
      <c r="D3" t="s">
        <v>478</v>
      </c>
      <c r="F3" t="str">
        <f>"LAYER"</f>
        <v>LAYER</v>
      </c>
      <c r="G3">
        <v>2</v>
      </c>
      <c r="H3" t="s">
        <v>190</v>
      </c>
      <c r="I3" t="s">
        <v>189</v>
      </c>
      <c r="J3" t="s">
        <v>316</v>
      </c>
      <c r="L3">
        <v>3</v>
      </c>
      <c r="M3" t="e">
        <f ca="1">Erkundungsstelle.Sample.Table[[#This Row],[TIEFE_ENDE]]-Erkundungsstelle.Sample.Table[[#This Row],[DICKE]]</f>
        <v>#VALUE!</v>
      </c>
      <c r="N3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3" t="s">
        <v>191</v>
      </c>
      <c r="P3" t="s">
        <v>234</v>
      </c>
      <c r="Q3" t="s">
        <v>449</v>
      </c>
      <c r="R3" t="s">
        <v>235</v>
      </c>
      <c r="S3" t="s">
        <v>236</v>
      </c>
      <c r="T3" t="s">
        <v>237</v>
      </c>
      <c r="U3">
        <v>2</v>
      </c>
      <c r="V3">
        <v>2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3" t="str">
        <f>IF(Erkundungsstelle.Sample.Table[[#This Row],[PECH]]="JA","auffällig",IF(Erkundungsstelle.Sample.Table[[#This Row],[ART]]&lt;&gt;"","neutral",""))</f>
        <v>neutral</v>
      </c>
      <c r="AA3">
        <v>2</v>
      </c>
      <c r="AB3" t="s">
        <v>459</v>
      </c>
      <c r="AC3" t="s">
        <v>459</v>
      </c>
      <c r="AD3" t="s">
        <v>191</v>
      </c>
      <c r="AE3" t="s">
        <v>459</v>
      </c>
    </row>
  </sheetData>
  <dataValidations count="20">
    <dataValidation type="list" allowBlank="1" showInputMessage="1" showErrorMessage="1" sqref="E2:E3" xr:uid="{606FD157-69C7-4181-BEEF-39619C01D709}">
      <formula1>LP_ID</formula1>
    </dataValidation>
    <dataValidation type="list" allowBlank="1" showInputMessage="1" showErrorMessage="1" sqref="B2:B3" xr:uid="{9137DDE7-64B6-4EC2-87C7-BBDDB0A58C79}">
      <formula1>ERK_ID</formula1>
    </dataValidation>
    <dataValidation type="list" allowBlank="1" showInputMessage="1" showErrorMessage="1" sqref="D3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3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3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3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3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3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3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3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3" xr:uid="{8DF64396-2A47-4FDF-BCFB-19DF6266431B}">
      <formula1>AUFSCHLUSS_AUSWAHL</formula1>
    </dataValidation>
    <dataValidation type="list" allowBlank="1" showInputMessage="1" showErrorMessage="1" sqref="C2:C3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I8"/>
  <sheetViews>
    <sheetView workbookViewId="0">
      <selection activeCell="A2" sqref="A2"/>
    </sheetView>
  </sheetViews>
  <sheetFormatPr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9" t="s">
        <v>7</v>
      </c>
      <c r="B1" s="19" t="s">
        <v>467</v>
      </c>
      <c r="C1" s="19" t="s">
        <v>8</v>
      </c>
      <c r="D1" s="20" t="s">
        <v>9</v>
      </c>
      <c r="E1" s="21" t="s">
        <v>10</v>
      </c>
      <c r="F1" s="21" t="s">
        <v>11</v>
      </c>
      <c r="G1" s="21" t="s">
        <v>29</v>
      </c>
      <c r="H1" s="21" t="s">
        <v>30</v>
      </c>
      <c r="I1" s="21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s="12" t="s">
        <v>345</v>
      </c>
    </row>
    <row r="3" spans="1:9" x14ac:dyDescent="0.25">
      <c r="D3" s="11"/>
      <c r="I3" s="12"/>
    </row>
    <row r="4" spans="1:9" x14ac:dyDescent="0.25">
      <c r="D4" s="11"/>
      <c r="I4" s="12"/>
    </row>
    <row r="5" spans="1:9" x14ac:dyDescent="0.25">
      <c r="D5" s="11"/>
      <c r="I5" s="12"/>
    </row>
    <row r="6" spans="1:9" x14ac:dyDescent="0.25">
      <c r="D6" s="11"/>
      <c r="I6" s="12"/>
    </row>
    <row r="7" spans="1:9" x14ac:dyDescent="0.25">
      <c r="D7" s="11"/>
      <c r="I7" s="12"/>
    </row>
    <row r="8" spans="1:9" x14ac:dyDescent="0.25">
      <c r="D8" s="11"/>
      <c r="I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L20"/>
  <sheetViews>
    <sheetView workbookViewId="0">
      <selection activeCell="L14" sqref="L14"/>
    </sheetView>
  </sheetViews>
  <sheetFormatPr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4" t="s">
        <v>7</v>
      </c>
      <c r="B1" s="14" t="s">
        <v>467</v>
      </c>
      <c r="C1" s="14" t="s">
        <v>8</v>
      </c>
      <c r="D1" s="15" t="s">
        <v>9</v>
      </c>
      <c r="E1" s="14" t="s">
        <v>12</v>
      </c>
      <c r="F1" s="14" t="s">
        <v>46</v>
      </c>
      <c r="G1" s="14" t="s">
        <v>47</v>
      </c>
      <c r="H1" s="14" t="s">
        <v>48</v>
      </c>
      <c r="I1" s="14" t="s">
        <v>304</v>
      </c>
      <c r="J1" s="14" t="s">
        <v>49</v>
      </c>
      <c r="K1" s="14" t="s">
        <v>50</v>
      </c>
      <c r="L1" s="14" t="s">
        <v>51</v>
      </c>
    </row>
    <row r="2" spans="1:12" x14ac:dyDescent="0.25">
      <c r="A2" t="s">
        <v>452</v>
      </c>
      <c r="B2" t="str">
        <f t="shared" ref="B2:B3" si="0">"BUILDING"</f>
        <v>BUILDING</v>
      </c>
      <c r="C2">
        <v>0</v>
      </c>
      <c r="D2" s="11"/>
    </row>
    <row r="3" spans="1:12" x14ac:dyDescent="0.25">
      <c r="A3" t="s">
        <v>2</v>
      </c>
      <c r="B3" t="str">
        <f t="shared" si="0"/>
        <v>BUILDING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415</v>
      </c>
    </row>
    <row r="4" spans="1:12" x14ac:dyDescent="0.25">
      <c r="D4" s="11"/>
    </row>
    <row r="5" spans="1:12" x14ac:dyDescent="0.25">
      <c r="D5" s="11"/>
    </row>
    <row r="6" spans="1:12" x14ac:dyDescent="0.25">
      <c r="D6" s="11"/>
    </row>
    <row r="7" spans="1:12" x14ac:dyDescent="0.25">
      <c r="D7" s="11"/>
    </row>
    <row r="8" spans="1:12" x14ac:dyDescent="0.25">
      <c r="D8" s="11"/>
    </row>
    <row r="9" spans="1:12" x14ac:dyDescent="0.25">
      <c r="D9" s="11"/>
    </row>
    <row r="10" spans="1:12" x14ac:dyDescent="0.25">
      <c r="D10" s="11"/>
    </row>
    <row r="11" spans="1:12" x14ac:dyDescent="0.25">
      <c r="D11" s="11"/>
    </row>
    <row r="12" spans="1:12" x14ac:dyDescent="0.25">
      <c r="D12" s="11"/>
    </row>
    <row r="13" spans="1:12" x14ac:dyDescent="0.25">
      <c r="D13" s="11"/>
    </row>
    <row r="14" spans="1:12" x14ac:dyDescent="0.25">
      <c r="D14" s="11"/>
    </row>
    <row r="15" spans="1:12" x14ac:dyDescent="0.25">
      <c r="D15" s="11"/>
    </row>
    <row r="16" spans="1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  <row r="20" spans="4:4" x14ac:dyDescent="0.25">
      <c r="D20" s="11"/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K26" sqref="K26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2021-11-09T17:56:36Z</dcterms:modified>
</cp:coreProperties>
</file>