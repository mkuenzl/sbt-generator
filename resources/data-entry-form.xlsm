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20001_{C0BCC254-B6B0-45C5-BADC-535C5E405C2C}" xr6:coauthVersionLast="47" xr6:coauthVersionMax="47" xr10:uidLastSave="{00000000-0000-0000-0000-000000000000}"/>
  <bookViews>
    <workbookView xWindow="-120" yWindow="-120" windowWidth="29040" windowHeight="15840" tabRatio="914" firstSheet="5" activeTab="5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PivotTables" sheetId="48" state="hidden" r:id="rId5"/>
    <sheet name="CommandSheet" sheetId="42" r:id="rId6"/>
    <sheet name="Chemie" sheetId="33" state="hidden" r:id="rId7"/>
    <sheet name="RuK" sheetId="17" state="hidden" r:id="rId8"/>
    <sheet name="LP" sheetId="18" state="hidden" r:id="rId9"/>
    <sheet name="Untersuchung ERK" sheetId="1" state="hidden" r:id="rId10"/>
    <sheet name="Probe ERK" sheetId="41" state="hidden" r:id="rId11"/>
    <sheet name="Untersuchung HAUF" sheetId="2" state="hidden" r:id="rId12"/>
    <sheet name="Probe HAUF" sheetId="10" state="hidden" r:id="rId13"/>
    <sheet name="Untersuchung GEB" sheetId="3" state="hidden" r:id="rId14"/>
    <sheet name="Probe GEB" sheetId="40" state="hidden" r:id="rId15"/>
    <sheet name="Auswahl Listen" sheetId="29" state="hidden" r:id="rId16"/>
  </sheets>
  <functionGroups builtInGroupCount="19"/>
  <definedNames>
    <definedName name="_xlcn.WorksheetConnection_dataentryform.xlsmErkundungsstelle.Sample.Table1" hidden="1">Erkundungsstelle.Sample.Table[]</definedName>
    <definedName name="_xlcn.WorksheetConnection_dataentryform.xlsmErkundungsstelle.Table1" hidden="1">Erkundungsstelle.Table[]</definedName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ERK'!$B$2,0,0,COUNTA('Untersuchung ERK'!$B:$B)-1)</definedName>
    <definedName name="ETAGEN_AUSWAHL">OFFSET('Auswahl Listen'!$AB$2,0,0,COUNTA('Auswahl Listen'!$AB:$AB)-1)</definedName>
    <definedName name="ExternalData_1" localSheetId="3" hidden="1">DatenErkundungsstelle!$A$1:$DB$10</definedName>
    <definedName name="ExternalData_2" localSheetId="2" hidden="1">DatenHaufwerk!$A$1:$BC$3</definedName>
    <definedName name="ExternalData_3" localSheetId="1" hidden="1">DatenGebaeude!$A$1:$BD$3</definedName>
    <definedName name="ExternalData_4" localSheetId="0" hidden="1">Daten!$A$1:$DR$14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GEB'!$B$2,0,0,COUNTA('Untersuchung GEB'!$B:$B)-1)</definedName>
    <definedName name="HAUFWERK_ID">OFFSET('Untersuchung HAUF'!$B$2,0,0,COUNTA('Untersuchung HAUF'!$B:$B)-1)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pivotCaches>
    <pivotCache cacheId="53" r:id="rId17"/>
    <pivotCache cacheId="55" r:id="rId18"/>
    <pivotCache cacheId="57" r:id="rId19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rkundungsstelle Table" name="Erkundungsstelle Table" connection="WorksheetConnection_data-entry-form.xlsm!Erkundungsstelle.Table"/>
          <x15:modelTable id="Erkundungsstelle Sample Table" name="Erkundungsstelle Sample Table" connection="WorksheetConnection_data-entry-form.xlsm!Erkundungsstelle.Sample.Table"/>
        </x15:modelTables>
        <x15:modelRelationships>
          <x15:modelRelationship fromTable="Erkundungsstelle Sample Table" fromColumn="PROBE.ID" toTable="Erkundungsstelle Table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41" l="1"/>
  <c r="F4" i="41"/>
  <c r="Y4" i="41" a="1"/>
  <c r="Y4" i="41" s="1"/>
  <c r="A8" i="1"/>
  <c r="C8" i="1"/>
  <c r="A6" i="41"/>
  <c r="F6" i="41"/>
  <c r="Y6" i="41" a="1"/>
  <c r="Y6" i="41" s="1"/>
  <c r="A7" i="1"/>
  <c r="C7" i="1"/>
  <c r="F3" i="40"/>
  <c r="D3" i="40"/>
  <c r="A3" i="40"/>
  <c r="F2" i="40"/>
  <c r="D2" i="40"/>
  <c r="A2" i="40"/>
  <c r="C3" i="3"/>
  <c r="A3" i="3"/>
  <c r="C2" i="3"/>
  <c r="A2" i="3"/>
  <c r="K3" i="10"/>
  <c r="K3" i="10" a="1"/>
  <c r="F3" i="10"/>
  <c r="D3" i="10"/>
  <c r="A3" i="10"/>
  <c r="K2" i="10"/>
  <c r="K2" i="10" a="1"/>
  <c r="F2" i="10"/>
  <c r="D2" i="10"/>
  <c r="A2" i="10"/>
  <c r="C2" i="2"/>
  <c r="A2" i="2"/>
  <c r="Y5" i="41" a="1"/>
  <c r="Y5" i="41" s="1"/>
  <c r="F5" i="41"/>
  <c r="A5" i="41"/>
  <c r="Y3" i="41" a="1"/>
  <c r="Y3" i="41" s="1"/>
  <c r="F3" i="41"/>
  <c r="A3" i="41"/>
  <c r="Y2" i="41" a="1"/>
  <c r="Y2" i="41" s="1"/>
  <c r="F2" i="41"/>
  <c r="A2" i="41"/>
  <c r="C6" i="1"/>
  <c r="A6" i="1"/>
  <c r="C5" i="1"/>
  <c r="A5" i="1"/>
  <c r="C4" i="1"/>
  <c r="A4" i="1"/>
  <c r="C3" i="1"/>
  <c r="A3" i="1"/>
  <c r="C2" i="1"/>
  <c r="A2" i="1"/>
  <c r="I6" i="18"/>
  <c r="H6" i="18"/>
  <c r="G6" i="18"/>
  <c r="F6" i="18"/>
  <c r="B6" i="18"/>
  <c r="A6" i="18"/>
  <c r="I5" i="18"/>
  <c r="H5" i="18"/>
  <c r="G5" i="18"/>
  <c r="F5" i="18"/>
  <c r="B5" i="18"/>
  <c r="A5" i="18"/>
  <c r="I4" i="18"/>
  <c r="H4" i="18"/>
  <c r="G4" i="18"/>
  <c r="F4" i="18"/>
  <c r="B4" i="18"/>
  <c r="A4" i="18"/>
  <c r="I3" i="18"/>
  <c r="H3" i="18"/>
  <c r="G3" i="18"/>
  <c r="F3" i="18"/>
  <c r="B3" i="18"/>
  <c r="A3" i="18"/>
  <c r="J2" i="18"/>
  <c r="I2" i="18"/>
  <c r="H2" i="18"/>
  <c r="G2" i="18"/>
  <c r="F2" i="18"/>
  <c r="B2" i="18"/>
  <c r="A2" i="18"/>
  <c r="B5" i="17"/>
  <c r="A5" i="17"/>
  <c r="B4" i="17"/>
  <c r="A4" i="17"/>
  <c r="B3" i="17"/>
  <c r="A3" i="17"/>
  <c r="B2" i="17"/>
  <c r="A2" i="17"/>
  <c r="A5" i="33"/>
  <c r="A4" i="33"/>
  <c r="A3" i="33"/>
  <c r="A2" i="33"/>
  <c r="N4" i="41" a="1"/>
  <c r="K2" i="40" a="1"/>
  <c r="N6" i="41" a="1"/>
  <c r="N2" i="41" a="1"/>
  <c r="N5" i="41" a="1"/>
  <c r="K3" i="40" a="1"/>
  <c r="N3" i="41" a="1"/>
  <c r="N4" i="41" l="1"/>
  <c r="M4" i="41" s="1"/>
  <c r="N6" i="41"/>
  <c r="M6" i="41" s="1"/>
  <c r="N5" i="41"/>
  <c r="M5" i="41" s="1"/>
  <c r="K2" i="40"/>
  <c r="J2" i="40" s="1"/>
  <c r="N2" i="41"/>
  <c r="M2" i="41" s="1"/>
  <c r="K3" i="40"/>
  <c r="J3" i="40" s="1"/>
  <c r="N3" i="41"/>
  <c r="M3" i="4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8C6100FC-FA99-48AD-BC7E-10A41DCC3F71}" keepAlive="1" name="Query - Data:Summary:Erkundungsstelle" description="Connection to the 'Data:Summary:Erkundungsstelle' query in the workbook." type="5" refreshedVersion="7" background="1" saveData="1">
    <dbPr connection="Provider=Microsoft.Mashup.OleDb.1;Data Source=$Workbook$;Location=Data:Summary:Erkundungsstelle;Extended Properties=&quot;&quot;" command="SELECT * FROM [Data:Summary:Erkundungsstelle]"/>
  </connection>
  <connection id="4" xr16:uid="{E5684DCF-783A-48CC-8DCF-050D2B351D97}" keepAlive="1" name="Query - Data:Summary:Erkundungsstelle (2)" description="Connection to the 'Data:Summary:Erkundungsstelle (2)' query in the workbook." type="5" refreshedVersion="7" background="1" saveData="1">
    <dbPr connection="Provider=Microsoft.Mashup.OleDb.1;Data Source=$Workbook$;Location=&quot;Data:Summary:Erkundungsstelle (2)&quot;;Extended Properties=&quot;&quot;" command="SELECT * FROM [Data:Summary:Erkundungsstelle (2)]"/>
  </connection>
  <connection id="5" xr16:uid="{9E317471-BCB6-4CD6-A180-18A89E7A244D}" keepAlive="1" name="Query - Data:Summary:Gebaeude" description="Connection to the 'Data:Summary:Gebaeude' query in the workbook." type="5" refreshedVersion="7" background="1" saveData="1">
    <dbPr connection="Provider=Microsoft.Mashup.OleDb.1;Data Source=$Workbook$;Location=Data:Summary:Gebaeude;Extended Properties=&quot;&quot;" command="SELECT * FROM [Data:Summary:Gebaeude]"/>
  </connection>
  <connection id="6" xr16:uid="{1828D968-7749-47DA-95AE-AFFEFD12F9E2}" keepAlive="1" name="Query - Data:Summary:Gebaeude (2)" description="Connection to the 'Data:Summary:Gebaeude (2)' query in the workbook." type="5" refreshedVersion="7" background="1" saveData="1">
    <dbPr connection="Provider=Microsoft.Mashup.OleDb.1;Data Source=$Workbook$;Location=&quot;Data:Summary:Gebaeude (2)&quot;;Extended Properties=&quot;&quot;" command="SELECT * FROM [Data:Summary:Gebaeude (2)]"/>
  </connection>
  <connection id="7" xr16:uid="{93AA6163-7F34-40F3-BD73-FC90AC0CFCE2}" keepAlive="1" name="Query - Data:Summary:Haufwerk" description="Connection to the 'Data:Summary:Haufwerk' query in the workbook." type="5" refreshedVersion="7" background="1" saveData="1">
    <dbPr connection="Provider=Microsoft.Mashup.OleDb.1;Data Source=$Workbook$;Location=Data:Summary:Haufwerk;Extended Properties=&quot;&quot;" command="SELECT * FROM [Data:Summary:Haufwerk]"/>
  </connection>
  <connection id="8" xr16:uid="{D968821F-A9A3-4258-91FA-282609FFF7A5}" keepAlive="1" name="Query - Data:Summary:Haufwerk (2)" description="Connection to the 'Data:Summary:Haufwerk (2)' query in the workbook." type="5" refreshedVersion="7" background="1" saveData="1">
    <dbPr connection="Provider=Microsoft.Mashup.OleDb.1;Data Source=$Workbook$;Location=&quot;Data:Summary:Haufwerk (2)&quot;;Extended Properties=&quot;&quot;" command="SELECT * FROM [Data:Summary:Haufwerk (2)]"/>
  </connection>
  <connection id="9" xr16:uid="{858FCF1B-34BD-466F-ACEF-20A9DF91165F}" keepAlive="1" name="Query - Data:Summary:Haufwerk (3)" description="Connection to the 'Data:Summary:Haufwerk (3)' query in the workbook." type="5" refreshedVersion="7" background="1" saveData="1">
    <dbPr connection="Provider=Microsoft.Mashup.OleDb.1;Data Source=$Workbook$;Location=&quot;Data:Summary:Haufwerk (3)&quot;;Extended Properties=&quot;&quot;" command="SELECT * FROM [Data:Summary:Haufwerk (3)]"/>
  </connection>
  <connection id="10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11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12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13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14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15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6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7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8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9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20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  <connection id="21" xr16:uid="{447C0F78-53EE-4E97-9FBC-C5909DC0230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000EF6EF-E8B1-43F0-AAD9-94634E384921}" name="WorksheetConnection_data-entry-form.xlsm!Erkundungsstelle.Sample.Table" type="102" refreshedVersion="7" minRefreshableVersion="5">
    <extLst>
      <ext xmlns:x15="http://schemas.microsoft.com/office/spreadsheetml/2010/11/main" uri="{DE250136-89BD-433C-8126-D09CA5730AF9}">
        <x15:connection id="Erkundungsstelle Sample Table">
          <x15:rangePr sourceName="_xlcn.WorksheetConnection_dataentryform.xlsmErkundungsstelle.Sample.Table1"/>
        </x15:connection>
      </ext>
    </extLst>
  </connection>
  <connection id="23" xr16:uid="{A315402C-5408-4834-8E62-5D9058DE6C03}" name="WorksheetConnection_data-entry-form.xlsm!Erkundungsstelle.Table" type="102" refreshedVersion="7" minRefreshableVersion="5">
    <extLst>
      <ext xmlns:x15="http://schemas.microsoft.com/office/spreadsheetml/2010/11/main" uri="{DE250136-89BD-433C-8126-D09CA5730AF9}">
        <x15:connection id="Erkundungsstelle Table" autoDelete="1">
          <x15:rangePr sourceName="_xlcn.WorksheetConnection_dataentryform.xlsmErkundungsstelle.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<sst xmlns="http://schemas.openxmlformats.org/spreadsheetml/2006/main" count="1363" uniqueCount="522">
  <si>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</si>
  <si>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</si>
  <si>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</si>
  <si>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</si>
  <si>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</si>
  <si>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</si>
  <si>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</si>
  <si>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</si>
  <si>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</si>
  <si>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</si>
  <si>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</si>
  <si>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</si>
  <si>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</si>
  <si>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</si>
  <si>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</si>
  <si>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</si>
  <si>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</si>
  <si>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</si>
  <si>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</si>
  <si>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</si>
  <si>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</si>
  <si>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</si>
  <si>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</si>
  <si>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</si>
  <si>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</si>
  <si>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</si>
  <si>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</si>
  <si>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</si>
  <si>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</si>
  <si>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</si>
  <si>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</si>
  <si>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</si>
  <si>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</si>
  <si>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</si>
  <si>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</si>
  <si>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</si>
  <si>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</si>
  <si>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</si>
  <si>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</si>
  <si>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</si>
  <si>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</si>
  <si>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</si>
  <si>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</si>
  <si>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</si>
  <si>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</si>
  <si>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</si>
  <si>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</si>
  <si>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</si>
  <si>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</si>
  <si>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</si>
  <si>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</si>
  <si>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</si>
  <si>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</si>
  <si>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</si>
  <si>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</si>
  <si>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</si>
  <si>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</si>
  <si>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</si>
  <si>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</si>
  <si>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</si>
  <si>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</si>
  <si>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</si>
  <si>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</si>
  <si>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</si>
  <si>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</si>
  <si>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</si>
  <si>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</si>
  <si>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</si>
  <si>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</si>
  <si>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</si>
  <si>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</si>
  <si>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</si>
  <si>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</si>
  <si>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</si>
  <si>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</si>
  <si>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</si>
  <si>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</si>
  <si>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</si>
  <si>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</si>
  <si>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</si>
  <si>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</si>
  <si>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</si>
  <si>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</si>
  <si>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</si>
  <si>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</si>
  <si>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</si>
  <si>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</si>
  <si>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</si>
  <si>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</si>
  <si>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</si>
  <si>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</si>
  <si>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</si>
  <si>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</si>
  <si>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</si>
  <si>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</si>
  <si>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</si>
  <si>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</si>
  <si>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</si>
  <si>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</si>
  <si>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</si>
  <si>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</si>
  <si>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</si>
  <si>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</si>
  <si>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</si>
  <si>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</si>
  <si>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</si>
  <si>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</si>
  <si>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</si>
  <si>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</si>
  <si>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</si>
  <si>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</si>
  <si>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</si>
  <si>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</si>
  <si>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</si>
  <si>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</si>
  <si>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</si>
  <si>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</si>
  <si>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</si>
  <si>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</si>
  <si>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</si>
  <si>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</si>
  <si>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</si>
  <si>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</si>
  <si>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</si>
  <si>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</si>
  <si>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</si>
  <si>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</si>
  <si>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</si>
  <si>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</si>
  <si>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</si>
  <si>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</si>
  <si>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</si>
  <si>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</si>
  <si>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</si>
  <si>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</si>
  <si>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</si>
  <si>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</si>
  <si>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</si>
  <si>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</si>
  <si>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</si>
  <si>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</si>
  <si>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</si>
  <si>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</si>
  <si>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</si>
  <si>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</si>
  <si>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</si>
  <si>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</si>
  <si>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</si>
  <si>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</si>
  <si>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</si>
  <si>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</si>
  <si>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</si>
  <si>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</si>
  <si>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</si>
  <si>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</si>
  <si>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</si>
  <si>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</si>
  <si>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</si>
  <si>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</si>
  <si>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</si>
  <si>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</si>
  <si>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</si>
  <si>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</si>
  <si>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</si>
  <si>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</si>
  <si>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</si>
  <si>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</si>
  <si>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</si>
  <si>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</si>
  <si>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</si>
  <si>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</si>
  <si>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</si>
  <si>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</si>
  <si>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</si>
  <si>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</si>
  <si>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</si>
  <si>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</si>
  <si>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</si>
  <si>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</si>
  <si>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</si>
  <si>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</si>
  <si>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</si>
  <si>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</si>
  <si>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</si>
  <si>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</si>
  <si>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</si>
  <si>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</si>
  <si>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</si>
  <si>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</si>
  <si>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</si>
  <si>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</si>
  <si>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</si>
  <si>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</si>
  <si>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</si>
  <si>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</si>
  <si>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</si>
  <si>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</si>
  <si>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</si>
  <si>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</si>
  <si>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</si>
  <si>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</si>
  <si>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</si>
  <si>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</si>
  <si>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</si>
  <si>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</si>
  <si>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</si>
  <si>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</si>
  <si>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</si>
  <si>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</si>
  <si>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</si>
  <si>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</si>
  <si>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</si>
  <si>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</si>
  <si>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</si>
  <si>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</si>
  <si>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</si>
  <si>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</si>
  <si>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</si>
  <si>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</si>
  <si>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</si>
  <si>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</si>
  <si>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</si>
  <si>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</si>
  <si>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</si>
  <si>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</si>
  <si>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</si>
  <si>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</si>
  <si>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</si>
  <si>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</si>
  <si>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</si>
  <si>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</si>
  <si>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</si>
  <si>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</si>
  <si>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</si>
  <si>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</si>
  <si>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</si>
  <si>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</si>
  <si>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</si>
  <si>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</si>
  <si>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</si>
  <si>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</si>
  <si>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</si>
  <si>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</si>
  <si>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</si>
  <si>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</si>
  <si>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</si>
  <si>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</si>
  <si>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</si>
  <si>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</si>
  <si>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</si>
  <si>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</si>
  <si>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</si>
  <si>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</si>
  <si>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</si>
  <si>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</si>
  <si>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</si>
  <si>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</si>
  <si>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</si>
  <si>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</si>
  <si>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</si>
  <si>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</si>
  <si>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</si>
  <si>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</si>
  <si>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</si>
  <si>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</si>
  <si>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</si>
  <si>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</si>
  <si>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</si>
  <si>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</si>
  <si>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</si>
  <si>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</si>
  <si>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</si>
  <si>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</si>
  <si>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</si>
  <si>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</si>
  <si>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</si>
  <si>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</si>
  <si>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</si>
  <si>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</si>
  <si>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</si>
  <si>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</si>
  <si>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</si>
  <si>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</si>
  <si>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</si>
  <si>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</si>
  <si>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</si>
  <si>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</si>
  <si>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</si>
  <si>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</si>
  <si>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</si>
  <si>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</si>
  <si>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</si>
  <si>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</si>
  <si>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</si>
  <si>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</si>
  <si>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</si>
  <si>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</si>
  <si>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</si>
  <si>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</si>
  <si>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</si>
  <si>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</si>
  <si>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</si>
  <si>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</si>
  <si>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</si>
  <si>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</si>
  <si>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</si>
  <si>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</si>
  <si>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</si>
  <si>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</si>
  <si>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</si>
  <si>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</si>
  <si>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</si>
  <si>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</si>
  <si>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</si>
  <si>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</si>
  <si>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</si>
  <si>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</si>
  <si>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</si>
  <si>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</si>
  <si>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</si>
  <si>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</si>
  <si>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</si>
  <si>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</si>
  <si>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</si>
  <si>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</si>
  <si>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</si>
  <si>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</si>
  <si>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</si>
  <si>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</si>
  <si>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</si>
  <si>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</si>
  <si>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</si>
  <si>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</si>
  <si>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</si>
  <si>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</si>
  <si>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</si>
  <si>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</si>
  <si>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</si>
  <si>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</si>
  <si>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</si>
  <si>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</si>
  <si>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</si>
  <si>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32U 123456 654321</t>
  </si>
  <si>
    <t>K 35, NK 5809 018 – NK 5809 016, Stat. 0+100, FS FR Bruttig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</si>
  <si>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</si>
  <si>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</si>
  <si>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</si>
  <si>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</si>
  <si>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</si>
  <si>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</si>
  <si>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</si>
  <si>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</si>
  <si>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</si>
  <si>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</si>
  <si>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</si>
  <si>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</si>
  <si>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</si>
  <si>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</si>
  <si>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</si>
  <si>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</si>
  <si>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</si>
  <si>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</si>
  <si>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</si>
  <si>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</si>
  <si>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</si>
  <si>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</si>
  <si>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</si>
  <si>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</si>
  <si>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</si>
  <si>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</si>
  <si>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</si>
  <si>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</si>
  <si>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</si>
  <si>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</si>
  <si>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</si>
  <si>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</si>
  <si>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</si>
  <si>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</si>
  <si>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</si>
  <si>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</si>
  <si>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</si>
  <si>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</si>
  <si>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</si>
  <si>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</si>
  <si>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</si>
  <si>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</si>
  <si>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</si>
  <si>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</si>
  <si>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</si>
  <si>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</si>
  <si>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</si>
  <si>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</si>
  <si>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</si>
  <si>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</si>
  <si>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</si>
  <si>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</si>
  <si>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</si>
  <si>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</si>
  <si>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</si>
  <si>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</si>
  <si>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</si>
  <si>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</si>
  <si>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</si>
  <si>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</si>
  <si>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</si>
  <si>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</si>
  <si>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</si>
  <si>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</si>
  <si>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</si>
  <si>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</si>
  <si>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</si>
  <si>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</si>
  <si>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</si>
  <si>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</si>
  <si>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</si>
  <si>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</si>
  <si>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</si>
  <si>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</si>
  <si>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</si>
  <si>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</si>
  <si>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</si>
  <si>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</si>
  <si>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</si>
  <si>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</si>
  <si>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</si>
  <si>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</si>
  <si>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</si>
  <si>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</si>
  <si>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</si>
  <si>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</si>
  <si>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</si>
  <si>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</si>
  <si>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</si>
  <si>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</si>
  <si>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</si>
  <si>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</si>
  <si>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</si>
  <si>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</si>
  <si>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</si>
  <si>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</si>
  <si>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</si>
  <si>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</si>
  <si>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</si>
  <si>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</si>
  <si>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</si>
  <si>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</si>
  <si>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</si>
  <si>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GB0</t>
  </si>
  <si>
    <t>1/11</t>
  </si>
  <si>
    <t>aufällig</t>
  </si>
  <si>
    <t>1/4</t>
  </si>
  <si>
    <t>blau</t>
  </si>
  <si>
    <t>a</t>
  </si>
  <si>
    <t>SH2</t>
  </si>
  <si>
    <t>1</t>
  </si>
  <si>
    <t>SE2</t>
  </si>
  <si>
    <t>ABFALLSCHLUESSEL</t>
  </si>
  <si>
    <t>PARAMETER.CHEMISTRY.ABFALLSCHLUESSEL</t>
  </si>
  <si>
    <t>SAMPLE.LP.ID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</si>
  <si>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</si>
  <si>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</si>
  <si>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</si>
  <si>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</si>
  <si>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</si>
  <si>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</si>
  <si>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</si>
  <si>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</si>
  <si>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</si>
  <si>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</si>
  <si>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</si>
  <si>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</si>
  <si>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</si>
  <si>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</si>
  <si>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</si>
  <si>
    <t>PRIVATE_ID</t>
  </si>
  <si>
    <t>FB4</t>
  </si>
  <si>
    <t>12.1.21</t>
  </si>
  <si>
    <t>FB17</t>
  </si>
  <si>
    <t>C2</t>
  </si>
  <si>
    <t>LP1</t>
  </si>
  <si>
    <t>GT*</t>
  </si>
  <si>
    <t xml:space="preserve">Tragen Sie die Daten Ihres Projekts ein. </t>
  </si>
  <si>
    <t>Projektdaten</t>
  </si>
  <si>
    <t>sbt - Laboratorium für Straßen- und Betonbau</t>
  </si>
  <si>
    <t>Projekt</t>
  </si>
  <si>
    <t>Leiter:</t>
  </si>
  <si>
    <t>Nummer:</t>
  </si>
  <si>
    <t>Name:</t>
  </si>
  <si>
    <t>Datum:</t>
  </si>
  <si>
    <t>Eintrag der Daten</t>
  </si>
  <si>
    <t>14.1.12</t>
  </si>
  <si>
    <t>(blank)</t>
  </si>
  <si>
    <t>PROBE.PRIVATE_ID</t>
  </si>
  <si>
    <t>GEB 1</t>
  </si>
  <si>
    <t>GEB 2</t>
  </si>
  <si>
    <t>ERK 1</t>
  </si>
  <si>
    <t>&lt; 80</t>
  </si>
  <si>
    <t>ERK 2</t>
  </si>
  <si>
    <t>ERK 3</t>
  </si>
  <si>
    <t>ERK 4</t>
  </si>
  <si>
    <t>ERK 5</t>
  </si>
  <si>
    <t>SE3</t>
  </si>
  <si>
    <t>HAUF 1</t>
  </si>
  <si>
    <t>Sum of SAMPLE.DICKE</t>
  </si>
  <si>
    <t>FB13</t>
  </si>
  <si>
    <t>ERK 6</t>
  </si>
  <si>
    <t>GT</t>
  </si>
  <si>
    <t>SE4</t>
  </si>
  <si>
    <t>Boden</t>
  </si>
  <si>
    <t>Row Labels</t>
  </si>
  <si>
    <t>Grand Total</t>
  </si>
  <si>
    <t>Sum of SAMPLE.VOLUMEN</t>
  </si>
  <si>
    <t>Pivot Tables</t>
  </si>
  <si>
    <t>FB7</t>
  </si>
  <si>
    <t>1.2.1992</t>
  </si>
  <si>
    <t>ERK 7</t>
  </si>
  <si>
    <t>Tingeltangel Bob</t>
  </si>
  <si>
    <t>Heute</t>
  </si>
  <si>
    <t>Dingsbums</t>
  </si>
  <si>
    <t>Hier am Weidengraben</t>
  </si>
  <si>
    <t>Gem. a. G. ST</t>
  </si>
  <si>
    <t>SE5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</si>
</sst>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4" borderId="0" xfId="0" applyFill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7" xfId="0" applyFont="1" applyBorder="1"/>
    <xf numFmtId="0" fontId="0" fillId="0" borderId="7" xfId="0" applyFont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indent="5"/>
    </xf>
    <xf numFmtId="0" fontId="0" fillId="0" borderId="0" xfId="0" applyAlignment="1">
      <alignment horizontal="left" indent="6"/>
    </xf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[data-entry-form.xlsm]PivotTables!PivotTable.Erkundungsstelle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Erkundungsstellen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PivotTables!$A$9:$A$68</c:f>
              <c:multiLvlStrCache>
                <c:ptCount val="9"/>
                <c:lvl>
                  <c:pt idx="0">
                    <c:v>(blank)</c:v>
                  </c:pt>
                  <c:pt idx="1">
                    <c:v>A3</c:v>
                  </c:pt>
                  <c:pt idx="2">
                    <c:v>(blank)</c:v>
                  </c:pt>
                  <c:pt idx="3">
                    <c:v>(blank)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A2</c:v>
                  </c:pt>
                  <c:pt idx="8">
                    <c:v>(blank)</c:v>
                  </c:pt>
                </c:lvl>
                <c:lvl>
                  <c:pt idx="0">
                    <c:v>LP3</c:v>
                  </c:pt>
                  <c:pt idx="1">
                    <c:v>LP3</c:v>
                  </c:pt>
                  <c:pt idx="2">
                    <c:v>(blank)</c:v>
                  </c:pt>
                  <c:pt idx="3">
                    <c:v>(blank)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LP1</c:v>
                  </c:pt>
                  <c:pt idx="8">
                    <c:v>(blank)</c:v>
                  </c:pt>
                </c:lvl>
                <c:lvl>
                  <c:pt idx="0">
                    <c:v>C1</c:v>
                  </c:pt>
                  <c:pt idx="1">
                    <c:v>C1</c:v>
                  </c:pt>
                  <c:pt idx="2">
                    <c:v>(blank)</c:v>
                  </c:pt>
                  <c:pt idx="3">
                    <c:v>C2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C2</c:v>
                  </c:pt>
                  <c:pt idx="8">
                    <c:v>(blank)</c:v>
                  </c:pt>
                </c:lvl>
                <c:lvl>
                  <c:pt idx="0">
                    <c:v>GOB</c:v>
                  </c:pt>
                  <c:pt idx="1">
                    <c:v>GOB</c:v>
                  </c:pt>
                  <c:pt idx="2">
                    <c:v>TOB</c:v>
                  </c:pt>
                  <c:pt idx="3">
                    <c:v>UG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OH</c:v>
                  </c:pt>
                  <c:pt idx="8">
                    <c:v>(blank)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(blank)</c:v>
                  </c:pt>
                  <c:pt idx="5">
                    <c:v>(blank)</c:v>
                  </c:pt>
                  <c:pt idx="6">
                    <c:v>(blank)</c:v>
                  </c:pt>
                  <c:pt idx="7">
                    <c:v>1</c:v>
                  </c:pt>
                  <c:pt idx="8">
                    <c:v>(blank)</c:v>
                  </c:pt>
                </c:lvl>
                <c:lvl>
                  <c:pt idx="0">
                    <c:v>FB1</c:v>
                  </c:pt>
                  <c:pt idx="3">
                    <c:v>FB2</c:v>
                  </c:pt>
                  <c:pt idx="4">
                    <c:v>FB3</c:v>
                  </c:pt>
                  <c:pt idx="5">
                    <c:v>FB4</c:v>
                  </c:pt>
                  <c:pt idx="6">
                    <c:v>FB13</c:v>
                  </c:pt>
                  <c:pt idx="7">
                    <c:v>FB17</c:v>
                  </c:pt>
                  <c:pt idx="8">
                    <c:v>FB7</c:v>
                  </c:pt>
                </c:lvl>
                <c:lvl>
                  <c:pt idx="0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</c:lvl>
              </c:multiLvlStrCache>
            </c:multiLvlStrRef>
          </c:cat>
          <c:val>
            <c:numRef>
              <c:f>PivotTables!$B$9:$B$68</c:f>
              <c:numCache>
                <c:formatCode>General</c:formatCode>
                <c:ptCount val="9"/>
                <c:pt idx="0">
                  <c:v>17</c:v>
                </c:pt>
                <c:pt idx="1">
                  <c:v>3</c:v>
                </c:pt>
                <c:pt idx="2">
                  <c:v>80</c:v>
                </c:pt>
                <c:pt idx="3">
                  <c:v>13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E-4354-9F05-75A474E2C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63025231"/>
        <c:axId val="563029391"/>
      </c:barChart>
      <c:catAx>
        <c:axId val="56302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9391"/>
        <c:crosses val="autoZero"/>
        <c:auto val="1"/>
        <c:lblAlgn val="ctr"/>
        <c:lblOffset val="100"/>
        <c:noMultiLvlLbl val="0"/>
      </c:catAx>
      <c:valAx>
        <c:axId val="56302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2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Gebäude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PivotTables!$F$8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PivotTables!$E$9:$E$19</c:f>
              <c:multiLvlStrCache>
                <c:ptCount val="2"/>
                <c:lvl>
                  <c:pt idx="0">
                    <c:v>(blank)</c:v>
                  </c:pt>
                  <c:pt idx="1">
                    <c:v>C0</c:v>
                  </c:pt>
                </c:lvl>
                <c:lvl>
                  <c:pt idx="0">
                    <c:v>(blank)</c:v>
                  </c:pt>
                  <c:pt idx="1">
                    <c:v>(blank)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</c:lvl>
                <c:lvl>
                  <c:pt idx="0">
                    <c:v>GB0</c:v>
                  </c:pt>
                  <c:pt idx="1">
                    <c:v>GB1</c:v>
                  </c:pt>
                </c:lvl>
                <c:lvl>
                  <c:pt idx="0">
                    <c:v>0</c:v>
                  </c:pt>
                  <c:pt idx="1">
                    <c:v>1</c:v>
                  </c:pt>
                </c:lvl>
              </c:multiLvlStrCache>
            </c:multiLvlStrRef>
          </c:cat>
          <c:val>
            <c:numRef>
              <c:f>PivotTables!$F$9:$F$19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4-4266-B804-3650975FC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794352"/>
        <c:axId val="9792272"/>
      </c:barChart>
      <c:catAx>
        <c:axId val="979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2272"/>
        <c:crosses val="autoZero"/>
        <c:auto val="1"/>
        <c:lblAlgn val="ctr"/>
        <c:lblOffset val="100"/>
        <c:noMultiLvlLbl val="0"/>
      </c:catAx>
      <c:valAx>
        <c:axId val="97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[data-entry-form.xlsm]PivotTables!PivotTable7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Summary Haufwerke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PivotTables!$J$8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PivotTables!$I$9:$I$17</c:f>
              <c:multiLvlStrCache>
                <c:ptCount val="2"/>
                <c:lvl>
                  <c:pt idx="0">
                    <c:v>C1</c:v>
                  </c:pt>
                  <c:pt idx="1">
                    <c:v>C0</c:v>
                  </c:pt>
                </c:lvl>
                <c:lvl>
                  <c:pt idx="0">
                    <c:v>ST</c:v>
                  </c:pt>
                  <c:pt idx="1">
                    <c:v>Beton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HW1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PivotTables!$J$9:$J$17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5-4F91-A60A-A3A6D7B68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77768047"/>
        <c:axId val="1977769711"/>
      </c:barChart>
      <c:catAx>
        <c:axId val="197776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69711"/>
        <c:crosses val="autoZero"/>
        <c:auto val="1"/>
        <c:lblAlgn val="ctr"/>
        <c:lblOffset val="100"/>
        <c:noMultiLvlLbl val="0"/>
      </c:catAx>
      <c:valAx>
        <c:axId val="19777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6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20</xdr:row>
          <xdr:rowOff>180975</xdr:rowOff>
        </xdr:from>
        <xdr:to>
          <xdr:col>4</xdr:col>
          <xdr:colOff>76200</xdr:colOff>
          <xdr:row>24</xdr:row>
          <xdr:rowOff>0</xdr:rowOff>
        </xdr:to>
        <xdr:sp macro="" textlink="">
          <xdr:nvSpPr>
            <xdr:cNvPr id="1025" name="UserFormButtonExplor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537481</xdr:colOff>
      <xdr:row>1</xdr:row>
      <xdr:rowOff>31976</xdr:rowOff>
    </xdr:from>
    <xdr:to>
      <xdr:col>20</xdr:col>
      <xdr:colOff>27215</xdr:colOff>
      <xdr:row>24</xdr:row>
      <xdr:rowOff>136073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ACCABB62-977A-404E-95BB-E87D54CF16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601791</xdr:colOff>
      <xdr:row>26</xdr:row>
      <xdr:rowOff>82322</xdr:rowOff>
    </xdr:from>
    <xdr:to>
      <xdr:col>9</xdr:col>
      <xdr:colOff>609955</xdr:colOff>
      <xdr:row>49</xdr:row>
      <xdr:rowOff>27214</xdr:rowOff>
    </xdr:to>
    <xdr:graphicFrame macro="">
      <xdr:nvGraphicFramePr>
        <xdr:cNvPr id="7" name="Chart 2">
          <a:extLst>
            <a:ext uri="{FF2B5EF4-FFF2-40B4-BE49-F238E27FC236}">
              <a16:creationId xmlns:a16="http://schemas.microsoft.com/office/drawing/2014/main" id="{32EF7400-9D93-495C-809F-687402EF16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563336</xdr:colOff>
      <xdr:row>26</xdr:row>
      <xdr:rowOff>75518</xdr:rowOff>
    </xdr:from>
    <xdr:to>
      <xdr:col>20</xdr:col>
      <xdr:colOff>54428</xdr:colOff>
      <xdr:row>49</xdr:row>
      <xdr:rowOff>40821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EE63DCE6-BBB6-4907-8C0C-E5E95554C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2.622835416667" backgroundQuery="1" createdVersion="7" refreshedVersion="7" minRefreshableVersion="3" recordCount="2" xr:uid="{30BCE947-8D49-4E95-807C-A60A16D2A9C5}">
  <cacheSource type="external" connectionId="9"/>
  <cacheFields count="6">
    <cacheField name="PROBE.NUMMER" numFmtId="0">
      <sharedItems containsSemiMixedTypes="0" containsString="0" containsNumber="1" containsInteger="1" minValue="1" maxValue="1" count="1">
        <n v="1"/>
      </sharedItems>
    </cacheField>
    <cacheField name="PROBE.ID" numFmtId="0">
      <sharedItems count="1">
        <s v="HW1"/>
      </sharedItems>
    </cacheField>
    <cacheField name="SAMPLE.NUMMER" numFmtId="0">
      <sharedItems containsSemiMixedTypes="0" containsString="0" containsNumber="1" containsInteger="1" minValue="1" maxValue="2" count="2">
        <n v="2"/>
        <n v="1"/>
      </sharedItems>
    </cacheField>
    <cacheField name="SAMPLE.ART" numFmtId="0">
      <sharedItems count="2">
        <s v="Beton"/>
        <s v="ST"/>
      </sharedItems>
    </cacheField>
    <cacheField name="SAMPLE.CHEMISTRY.ID" numFmtId="0">
      <sharedItems count="2">
        <s v="C0"/>
        <s v="C1"/>
      </sharedItems>
    </cacheField>
    <cacheField name="SAMPLE.VOLUMEN" numFmtId="0">
      <sharedItems containsSemiMixedTypes="0" containsString="0" containsNumber="1" containsInteger="1" minValue="250" maxValue="250" count="1">
        <n v="2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2.622837615738" backgroundQuery="1" createdVersion="7" refreshedVersion="7" minRefreshableVersion="3" recordCount="2" xr:uid="{9B7D7E88-FAFC-4152-A6FF-CAEB7F9C403F}">
  <cacheSource type="external" connectionId="6"/>
  <cacheFields count="6">
    <cacheField name="PROBE.NUMMER" numFmtId="0">
      <sharedItems containsSemiMixedTypes="0" containsString="0" containsNumber="1" containsInteger="1" minValue="0" maxValue="1" count="2">
        <n v="0"/>
        <n v="1"/>
      </sharedItems>
    </cacheField>
    <cacheField name="PROBE.ID" numFmtId="0">
      <sharedItems count="2">
        <s v="GB0"/>
        <s v="GB1"/>
      </sharedItems>
    </cacheField>
    <cacheField name="SAMPLE.NUMMER" numFmtId="0">
      <sharedItems containsSemiMixedTypes="0" containsString="0" containsNumber="1" containsInteger="1" minValue="1" maxValue="1" count="1">
        <n v="1"/>
      </sharedItems>
    </cacheField>
    <cacheField name="SAMPLE.MATERIAL" numFmtId="0">
      <sharedItems containsString="0" containsBlank="1" count="1">
        <m/>
      </sharedItems>
    </cacheField>
    <cacheField name="SAMPLE.CHEMISTRY.ID" numFmtId="0">
      <sharedItems containsBlank="1" count="2">
        <m/>
        <s v="C0"/>
      </sharedItems>
    </cacheField>
    <cacheField name="SAMPLE.DICKE" numFmtId="0">
      <sharedItems containsSemiMixedTypes="0" containsString="0" containsNumber="1" containsInteger="1" minValue="2" maxValue="3" count="2"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ritz Künzl" refreshedDate="44522.622840046293" backgroundQuery="1" createdVersion="7" refreshedVersion="7" minRefreshableVersion="3" recordCount="9" xr:uid="{763C6EA9-8E91-45C6-A877-A5AC8F4F941A}">
  <cacheSource type="external" connectionId="4"/>
  <cacheFields count="9">
    <cacheField name="PROBE.ID" numFmtId="0">
      <sharedItems count="7">
        <s v="FB1"/>
        <s v="FB2"/>
        <s v="FB3"/>
        <s v="FB4"/>
        <s v="FB13"/>
        <s v="FB17"/>
        <s v="FB7"/>
      </sharedItems>
    </cacheField>
    <cacheField name="PROBE.NUMMER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SAMPLE.CHEMISTRY.ID" numFmtId="0">
      <sharedItems containsBlank="1" count="3">
        <m/>
        <s v="C1"/>
        <s v="C2"/>
      </sharedItems>
    </cacheField>
    <cacheField name="SAMPLE.RUK.ID" numFmtId="0">
      <sharedItems containsBlank="1" count="3">
        <m/>
        <s v="A3"/>
        <s v="A2"/>
      </sharedItems>
    </cacheField>
    <cacheField name="SAMPLE.LP.ID" numFmtId="0">
      <sharedItems containsBlank="1" count="3">
        <m/>
        <s v="LP3"/>
        <s v="LP1"/>
      </sharedItems>
    </cacheField>
    <cacheField name="SAMPLE.NUMMER" numFmtId="0">
      <sharedItems containsString="0" containsBlank="1" containsNumber="1" containsInteger="1" minValue="1" maxValue="3" count="4">
        <n v="3"/>
        <n v="2"/>
        <n v="1"/>
        <m/>
      </sharedItems>
    </cacheField>
    <cacheField name="SAMPLE.AUFSCHLUSS" numFmtId="0">
      <sharedItems containsBlank="1" count="5">
        <s v="TOB"/>
        <s v="GOB"/>
        <s v="UG"/>
        <m/>
        <s v="OH"/>
      </sharedItems>
    </cacheField>
    <cacheField name="SAMPLE.ART" numFmtId="0">
      <sharedItems containsBlank="1" count="5">
        <s v="Gem. a. G. ST"/>
        <s v="Deckschicht"/>
        <s v="GT"/>
        <m/>
        <s v="GT*"/>
      </sharedItems>
    </cacheField>
    <cacheField name="SAMPLE.DICKE" numFmtId="0">
      <sharedItems containsString="0" containsBlank="1" containsNumber="1" containsInteger="1" minValue="2" maxValue="80" count="6">
        <n v="80"/>
        <n v="3"/>
        <n v="17"/>
        <n v="13"/>
        <m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</r>
  <r>
    <x v="0"/>
    <x v="0"/>
    <x v="1"/>
    <x v="1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x v="0"/>
    <x v="0"/>
    <x v="0"/>
  </r>
  <r>
    <x v="1"/>
    <x v="1"/>
    <x v="0"/>
    <x v="0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1"/>
    <x v="0"/>
    <x v="1"/>
    <x v="2"/>
    <x v="1"/>
    <x v="1"/>
    <x v="2"/>
  </r>
  <r>
    <x v="1"/>
    <x v="1"/>
    <x v="2"/>
    <x v="0"/>
    <x v="0"/>
    <x v="2"/>
    <x v="2"/>
    <x v="2"/>
    <x v="3"/>
  </r>
  <r>
    <x v="2"/>
    <x v="2"/>
    <x v="0"/>
    <x v="0"/>
    <x v="0"/>
    <x v="3"/>
    <x v="3"/>
    <x v="3"/>
    <x v="4"/>
  </r>
  <r>
    <x v="3"/>
    <x v="3"/>
    <x v="0"/>
    <x v="0"/>
    <x v="0"/>
    <x v="3"/>
    <x v="3"/>
    <x v="3"/>
    <x v="4"/>
  </r>
  <r>
    <x v="4"/>
    <x v="4"/>
    <x v="0"/>
    <x v="0"/>
    <x v="0"/>
    <x v="3"/>
    <x v="3"/>
    <x v="3"/>
    <x v="4"/>
  </r>
  <r>
    <x v="5"/>
    <x v="5"/>
    <x v="2"/>
    <x v="2"/>
    <x v="2"/>
    <x v="2"/>
    <x v="4"/>
    <x v="4"/>
    <x v="5"/>
  </r>
  <r>
    <x v="6"/>
    <x v="6"/>
    <x v="0"/>
    <x v="0"/>
    <x v="0"/>
    <x v="3"/>
    <x v="3"/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DF265-5D36-4DE3-B0E5-B4463A0B1573}" name="PivotTable5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E8:F19" firstHeaderRow="1" firstDataRow="1" firstDataCol="1"/>
  <pivotFields count="6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dataField="1" showAll="0"/>
  </pivotFields>
  <rowFields count="5">
    <field x="0"/>
    <field x="1"/>
    <field x="2"/>
    <field x="3"/>
    <field x="4"/>
  </rowFields>
  <rowItems count="11">
    <i>
      <x/>
    </i>
    <i r="1">
      <x/>
    </i>
    <i r="2">
      <x/>
    </i>
    <i r="3">
      <x/>
    </i>
    <i r="4">
      <x v="1"/>
    </i>
    <i>
      <x v="1"/>
    </i>
    <i r="1">
      <x v="1"/>
    </i>
    <i r="2">
      <x/>
    </i>
    <i r="3">
      <x/>
    </i>
    <i r="4">
      <x/>
    </i>
    <i t="grand">
      <x/>
    </i>
  </rowItems>
  <colItems count="1">
    <i/>
  </colItems>
  <dataFields count="1">
    <dataField name="Sum of SAMPLE.DICKE" fld="5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E43B-A0DE-4635-822E-75D8C54FD282}" name="PivotTable7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fieldListSortAscending="1">
  <location ref="I8:J17" firstHeaderRow="1" firstDataRow="1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</pivotFields>
  <rowFields count="5">
    <field x="0"/>
    <field x="1"/>
    <field x="2"/>
    <field x="3"/>
    <field x="4"/>
  </rowFields>
  <rowItems count="9">
    <i>
      <x/>
    </i>
    <i r="1">
      <x/>
    </i>
    <i r="2">
      <x/>
    </i>
    <i r="3">
      <x v="1"/>
    </i>
    <i r="4">
      <x v="1"/>
    </i>
    <i r="2">
      <x v="1"/>
    </i>
    <i r="3">
      <x/>
    </i>
    <i r="4">
      <x/>
    </i>
    <i t="grand">
      <x/>
    </i>
  </rowItems>
  <colItems count="1">
    <i/>
  </colItems>
  <dataFields count="1">
    <dataField name="Sum of SAMPLE.VOLUMEN" fld="5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23BF21-EB0A-4259-92F0-0959AB8979DD}" name="PivotTable.Erkundungsstelle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 fieldListSortAscending="1">
  <location ref="A8:B68" firstHeaderRow="1" firstDataRow="1" firstDataCol="1"/>
  <pivotFields count="9">
    <pivotField axis="axisRow" showAll="0">
      <items count="8">
        <item x="0"/>
        <item x="4"/>
        <item x="5"/>
        <item x="1"/>
        <item x="2"/>
        <item x="3"/>
        <item x="6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4">
        <item x="1"/>
        <item x="2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2"/>
        <item x="1"/>
        <item x="0"/>
        <item t="default"/>
      </items>
    </pivotField>
    <pivotField axis="axisRow" showAll="0">
      <items count="5">
        <item x="2"/>
        <item x="1"/>
        <item x="3"/>
        <item x="0"/>
        <item t="default"/>
      </items>
    </pivotField>
    <pivotField axis="axisRow" showAll="0">
      <items count="6">
        <item x="1"/>
        <item x="4"/>
        <item x="2"/>
        <item x="3"/>
        <item x="0"/>
        <item t="default"/>
      </items>
    </pivotField>
    <pivotField showAll="0"/>
    <pivotField dataField="1" showAll="0"/>
  </pivotFields>
  <rowFields count="7">
    <field x="1"/>
    <field x="0"/>
    <field x="5"/>
    <field x="6"/>
    <field x="2"/>
    <field x="4"/>
    <field x="3"/>
  </rowFields>
  <rowItems count="60">
    <i>
      <x/>
    </i>
    <i r="1">
      <x/>
    </i>
    <i r="2">
      <x/>
    </i>
    <i r="3">
      <x/>
    </i>
    <i r="4">
      <x/>
    </i>
    <i r="5">
      <x v="1"/>
    </i>
    <i r="6">
      <x v="2"/>
    </i>
    <i r="2">
      <x v="1"/>
    </i>
    <i r="3">
      <x/>
    </i>
    <i r="4">
      <x/>
    </i>
    <i r="5">
      <x v="1"/>
    </i>
    <i r="6">
      <x v="1"/>
    </i>
    <i r="2">
      <x v="3"/>
    </i>
    <i r="3">
      <x v="4"/>
    </i>
    <i r="4">
      <x v="2"/>
    </i>
    <i r="5">
      <x v="2"/>
    </i>
    <i r="6">
      <x v="2"/>
    </i>
    <i>
      <x v="1"/>
    </i>
    <i r="1">
      <x v="3"/>
    </i>
    <i r="2">
      <x/>
    </i>
    <i r="3">
      <x v="2"/>
    </i>
    <i r="4">
      <x v="1"/>
    </i>
    <i r="5">
      <x v="2"/>
    </i>
    <i r="6">
      <x v="2"/>
    </i>
    <i>
      <x v="2"/>
    </i>
    <i r="1">
      <x v="4"/>
    </i>
    <i r="2">
      <x v="2"/>
    </i>
    <i r="3">
      <x v="3"/>
    </i>
    <i r="4">
      <x v="2"/>
    </i>
    <i r="5">
      <x v="2"/>
    </i>
    <i r="6">
      <x v="2"/>
    </i>
    <i>
      <x v="3"/>
    </i>
    <i r="1">
      <x v="5"/>
    </i>
    <i r="2">
      <x v="2"/>
    </i>
    <i r="3">
      <x v="3"/>
    </i>
    <i r="4">
      <x v="2"/>
    </i>
    <i r="5">
      <x v="2"/>
    </i>
    <i r="6">
      <x v="2"/>
    </i>
    <i>
      <x v="4"/>
    </i>
    <i r="1">
      <x v="1"/>
    </i>
    <i r="2">
      <x v="2"/>
    </i>
    <i r="3">
      <x v="3"/>
    </i>
    <i r="4">
      <x v="2"/>
    </i>
    <i r="5">
      <x v="2"/>
    </i>
    <i r="6">
      <x v="2"/>
    </i>
    <i>
      <x v="5"/>
    </i>
    <i r="1">
      <x v="2"/>
    </i>
    <i r="2">
      <x/>
    </i>
    <i r="3">
      <x v="1"/>
    </i>
    <i r="4">
      <x v="1"/>
    </i>
    <i r="5">
      <x/>
    </i>
    <i r="6">
      <x/>
    </i>
    <i>
      <x v="6"/>
    </i>
    <i r="1">
      <x v="6"/>
    </i>
    <i r="2">
      <x v="2"/>
    </i>
    <i r="3">
      <x v="3"/>
    </i>
    <i r="4">
      <x v="2"/>
    </i>
    <i r="5">
      <x v="2"/>
    </i>
    <i r="6">
      <x v="2"/>
    </i>
    <i t="grand">
      <x/>
    </i>
  </rowItems>
  <colItems count="1">
    <i/>
  </colItems>
  <dataFields count="1">
    <dataField name="Sum of SAMPLE.DICKE" fld="8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9">
    <queryTableFields count="122">
      <queryTableField id="127" name="PROBE.PRIVATE_ID" tableColumnId="122"/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3920ED5E-76ED-4E88-A474-CB0C640AF3E5}" autoFormatId="16" applyNumberFormats="0" applyBorderFormats="0" applyFontFormats="0" applyPatternFormats="0" applyAlignmentFormats="0" applyWidthHeightFormats="0">
  <queryTableRefresh nextId="63">
    <queryTableFields count="56">
      <queryTableField id="61" name="PROBE.PRIVATE_ID" tableColumnId="56"/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EC4126BD-97F9-4426-AE1A-3A05FE8DD68C}" autoFormatId="16" applyNumberFormats="0" applyBorderFormats="0" applyFontFormats="0" applyPatternFormats="0" applyAlignmentFormats="0" applyWidthHeightFormats="0">
  <queryTableRefresh nextId="60">
    <queryTableFields count="55">
      <queryTableField id="58" name="PROBE.PRIVATE_ID" tableColumnId="55"/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89D745E6-8865-4E05-A242-22DEBFF20E5B}" autoFormatId="16" applyNumberFormats="0" applyBorderFormats="0" applyFontFormats="0" applyPatternFormats="0" applyAlignmentFormats="0" applyWidthHeightFormats="0">
  <queryTableRefresh nextId="113">
    <queryTableFields count="106">
      <queryTableField id="111" name="PROBE.PRIVATE_ID" tableColumnId="106"/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R14" tableType="queryTable" totalsRowShown="0">
  <autoFilter ref="A1:DR14" xr:uid="{86F13263-33C7-4F2E-8421-A29B3204617B}"/>
  <tableColumns count="122">
    <tableColumn id="122" xr3:uid="{2572B046-FDD7-47E2-921D-FFAB88342998}" uniqueName="122" name="PROBE.PRIVATE_ID" queryTableFieldId="127"/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2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19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18"/>
    <tableColumn id="71" xr3:uid="{B7D2BA06-4A34-4C68-8818-08707091BD51}" uniqueName="71" name="PARAMETER.LP.EV2" queryTableFieldId="71" dataDxfId="117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16"/>
    <tableColumn id="77" xr3:uid="{A31B4E8D-FF30-4350-8B36-F5A091FA8BE3}" uniqueName="77" name="PARAMETER.CHEMISTRY.ID" queryTableFieldId="77" dataDxfId="115"/>
    <tableColumn id="78" xr3:uid="{6447F090-92FC-4BF7-BB54-7062E3B51531}" uniqueName="78" name="PARAMETER.CHEMISTRY.MUFV" queryTableFieldId="78" dataDxfId="114"/>
    <tableColumn id="79" xr3:uid="{02A2CC25-5CAB-486D-B541-3DE6E66C39B0}" uniqueName="79" name="PARAMETER.CHEMISTRY.MUFV_PARAMETER" queryTableFieldId="79" dataDxfId="113"/>
    <tableColumn id="80" xr3:uid="{7807F747-E532-4E88-9A2C-D53E765139AA}" uniqueName="80" name="PARAMETER.CHEMISTRY.ASBEST" queryTableFieldId="80" dataDxfId="112"/>
    <tableColumn id="81" xr3:uid="{4EBADA30-0DF6-499D-AAF0-FC1167D25847}" uniqueName="81" name="PARAMETER.CHEMISTRY.KMF" queryTableFieldId="81" dataDxfId="111"/>
    <tableColumn id="82" xr3:uid="{3B561F5F-2D43-4067-8617-DECD7FB8EA51}" uniqueName="82" name="PARAMETER.CHEMISTRY.PAK" queryTableFieldId="82" dataDxfId="110"/>
    <tableColumn id="83" xr3:uid="{FFB29055-4A3C-457D-A460-0093ABBD6620}" uniqueName="83" name="PARAMETER.CHEMISTRY.PCB" queryTableFieldId="83" dataDxfId="109"/>
    <tableColumn id="84" xr3:uid="{223AB50A-7F5C-4434-976E-67A136FA6D2C}" uniqueName="84" name="PARAMETER.CHEMISTRY.BTEX" queryTableFieldId="84" dataDxfId="108"/>
    <tableColumn id="85" xr3:uid="{DF177C34-7768-423A-BBEE-CB2710E46706}" uniqueName="85" name="PARAMETER.CHEMISTRY.EOX" queryTableFieldId="85" dataDxfId="107"/>
    <tableColumn id="86" xr3:uid="{449C7574-6309-4508-9E06-DA2A5DDB239D}" uniqueName="86" name="PARAMETER.CHEMISTRY.PHENOLE" queryTableFieldId="86" dataDxfId="106"/>
    <tableColumn id="87" xr3:uid="{FA4D0C39-E96A-4B21-9448-CD88C1947C88}" uniqueName="87" name="PARAMETER.CHEMISTRY.ICP_SCREENING" queryTableFieldId="87" dataDxfId="105"/>
    <tableColumn id="88" xr3:uid="{5C31CD76-89C0-4772-832C-EDD96CAF2D7C}" uniqueName="88" name="PARAMETER.CHEMISTRY.MKW_C10_C22" queryTableFieldId="88" dataDxfId="104"/>
    <tableColumn id="89" xr3:uid="{6557DE6D-5F29-4CCB-BEAF-951520533AB7}" uniqueName="89" name="PARAMETER.CHEMISTRY.MKW_C10_C40" queryTableFieldId="89" dataDxfId="103"/>
    <tableColumn id="90" xr3:uid="{56DEE031-2DC4-466F-B6B3-6EFB4A114A06}" uniqueName="90" name="PARAMETER.CHEMISTRY.SULFAT" queryTableFieldId="90" dataDxfId="102"/>
    <tableColumn id="91" xr3:uid="{E331A1BC-B90C-48E4-84AA-6505E483F830}" uniqueName="91" name="PARAMETER.CHEMISTRY.ALTHOLZ_VERORDNUNG" queryTableFieldId="91" dataDxfId="101"/>
    <tableColumn id="92" xr3:uid="{664484A1-1F1D-4631-9229-FA2423019CF7}" uniqueName="92" name="PARAMETER.CHEMISTRY.FCKW" queryTableFieldId="92" dataDxfId="100"/>
    <tableColumn id="93" xr3:uid="{E9955DE5-8EE5-451C-B9B5-47B862F0EBF7}" uniqueName="93" name="PARAMETER.CHEMISTRY.HBCD" queryTableFieldId="93" dataDxfId="99"/>
    <tableColumn id="94" xr3:uid="{99A8AAEB-7F54-443A-9AE4-10239B7B5313}" uniqueName="94" name="PARAMETER.CHEMISTRY.LAGA_BO" queryTableFieldId="94" dataDxfId="98"/>
    <tableColumn id="95" xr3:uid="{40FC5D6C-62C6-452D-85D0-BF8E2B0CA64D}" uniqueName="95" name="PARAMETER.CHEMISTRY.LAGA_RC" queryTableFieldId="95" dataDxfId="97"/>
    <tableColumn id="96" xr3:uid="{5350E1CB-168D-43E2-8174-5307AB2F7FFF}" uniqueName="96" name="PARAMETER.CHEMISTRY.LAGA_RC_ORIENTIERUNGSWERT" queryTableFieldId="96" dataDxfId="96"/>
    <tableColumn id="97" xr3:uid="{A22C6EC8-A7C8-42A1-A4A5-49F13CDF77E8}" uniqueName="97" name="PARAMETER.CHEMISTRY.TL_GESTEIN" queryTableFieldId="97" dataDxfId="95"/>
    <tableColumn id="98" xr3:uid="{725C7FEA-C159-432A-BBD3-F6031988605E}" uniqueName="98" name="PARAMETER.CHEMISTRY.DEPV" queryTableFieldId="98" dataDxfId="94"/>
    <tableColumn id="99" xr3:uid="{C4872AA8-2C00-433A-97CE-CA0243253F13}" uniqueName="99" name="PARAMETER.CHEMISTRY.ENTSCHEIDUNGSHILFE" queryTableFieldId="99" dataDxfId="93"/>
    <tableColumn id="100" xr3:uid="{4A15FF20-0E7F-4AFB-92FE-AE384507F846}" uniqueName="100" name="PARAMETER.CHEMISTRY.REKU" queryTableFieldId="100" dataDxfId="92"/>
    <tableColumn id="101" xr3:uid="{6DE305E5-8909-4015-B780-8B5EC1734EF0}" uniqueName="101" name="PARAMETER.CHEMISTRY.RUVA" queryTableFieldId="101" dataDxfId="91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90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89"/>
    <tableColumn id="118" xr3:uid="{3BFAA40F-A0BC-48BB-A998-3C0F59055FDF}" uniqueName="118" name="SAMPLE.ABFALLSCHLUESSEL_GEMISCH" queryTableFieldId="118" dataDxfId="8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D3" tableType="queryTable" totalsRowShown="0">
  <autoFilter ref="A1:BD3" xr:uid="{81D0B90E-F6FD-4BFC-9A83-ECE212DBBA6A}"/>
  <tableColumns count="56">
    <tableColumn id="56" xr3:uid="{71712954-E8F7-4481-B3FE-E9F564BF8C5E}" uniqueName="56" name="PROBE.PRIVATE_ID" queryTableFieldId="61"/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87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86"/>
    <tableColumn id="26" xr3:uid="{FC97436C-64A0-41C8-B4BE-9C2242984A2A}" uniqueName="26" name="SAMPLE.ABFALLSCHLUESSEL_GEMISCH" queryTableFieldId="26" dataDxfId="85"/>
    <tableColumn id="27" xr3:uid="{FEC52FA2-705E-42CB-80EC-4928D5325B71}" uniqueName="27" name="PARAMETER.CHEMISTRY.ID" queryTableFieldId="27" dataDxfId="84"/>
    <tableColumn id="28" xr3:uid="{27A4E004-8EAD-421D-9AA3-CF721B6D9A83}" uniqueName="28" name="PARAMETER.CHEMISTRY.MUFV" queryTableFieldId="28" dataDxfId="83"/>
    <tableColumn id="29" xr3:uid="{93606AFB-108E-4FE1-895A-71BB6F3DF64F}" uniqueName="29" name="PARAMETER.CHEMISTRY.MUFV_PARAMETER" queryTableFieldId="29" dataDxfId="82"/>
    <tableColumn id="30" xr3:uid="{F78B4E58-D201-4664-9FA5-DFB52507CB65}" uniqueName="30" name="PARAMETER.CHEMISTRY.ASBEST" queryTableFieldId="30" dataDxfId="81"/>
    <tableColumn id="31" xr3:uid="{14D629DF-C709-4790-82B1-CF18C3C6D43E}" uniqueName="31" name="PARAMETER.CHEMISTRY.KMF" queryTableFieldId="31" dataDxfId="80"/>
    <tableColumn id="32" xr3:uid="{0F0061C7-0951-41B7-87CF-A6950CCB314E}" uniqueName="32" name="PARAMETER.CHEMISTRY.PAK" queryTableFieldId="32" dataDxfId="79"/>
    <tableColumn id="33" xr3:uid="{2F939509-A19C-4906-8FC2-BCF88B19BE05}" uniqueName="33" name="PARAMETER.CHEMISTRY.PCB" queryTableFieldId="33" dataDxfId="78"/>
    <tableColumn id="34" xr3:uid="{03BF367E-3FCF-4ECC-A100-B8012E65F100}" uniqueName="34" name="PARAMETER.CHEMISTRY.BTEX" queryTableFieldId="34" dataDxfId="77"/>
    <tableColumn id="35" xr3:uid="{BA3BECE2-FE5C-47CC-970C-F106E733A380}" uniqueName="35" name="PARAMETER.CHEMISTRY.EOX" queryTableFieldId="35" dataDxfId="76"/>
    <tableColumn id="36" xr3:uid="{629BC31F-3BD7-41C8-AEAB-17B0A80F2C92}" uniqueName="36" name="PARAMETER.CHEMISTRY.PHENOLE" queryTableFieldId="36" dataDxfId="75"/>
    <tableColumn id="37" xr3:uid="{68813B17-BB65-4926-BE6A-4716BE7DB98C}" uniqueName="37" name="PARAMETER.CHEMISTRY.ICP_SCREENING" queryTableFieldId="37" dataDxfId="74"/>
    <tableColumn id="38" xr3:uid="{EE16B3EF-DECD-42F8-890C-2C830D731663}" uniqueName="38" name="PARAMETER.CHEMISTRY.MKW_C10_C22" queryTableFieldId="38" dataDxfId="73"/>
    <tableColumn id="39" xr3:uid="{5ABF636F-5B8F-4034-8610-2DCB1D4E5DAB}" uniqueName="39" name="PARAMETER.CHEMISTRY.MKW_C10_C40" queryTableFieldId="39" dataDxfId="72"/>
    <tableColumn id="40" xr3:uid="{8B7F21F1-6D87-4C4E-843F-DEF943284D33}" uniqueName="40" name="PARAMETER.CHEMISTRY.SULFAT" queryTableFieldId="40" dataDxfId="71"/>
    <tableColumn id="41" xr3:uid="{4998777B-9E4E-4BC9-B317-43F694B0F669}" uniqueName="41" name="PARAMETER.CHEMISTRY.ALTHOLZ_VERORDNUNG" queryTableFieldId="41" dataDxfId="70"/>
    <tableColumn id="42" xr3:uid="{2FF936F5-EAC8-48B4-9AA7-737B3728B063}" uniqueName="42" name="PARAMETER.CHEMISTRY.FCKW" queryTableFieldId="42" dataDxfId="69"/>
    <tableColumn id="43" xr3:uid="{FDFBEC0C-E165-43F8-9120-B73BD468C297}" uniqueName="43" name="PARAMETER.CHEMISTRY.HBCD" queryTableFieldId="43" dataDxfId="68"/>
    <tableColumn id="44" xr3:uid="{43420AA0-A5F4-4F3B-8341-DC45675A9502}" uniqueName="44" name="PARAMETER.CHEMISTRY.LAGA_BO" queryTableFieldId="44" dataDxfId="67"/>
    <tableColumn id="45" xr3:uid="{58F1740F-4C9F-431F-9219-439DD02CECC4}" uniqueName="45" name="PARAMETER.CHEMISTRY.LAGA_RC" queryTableFieldId="45" dataDxfId="66"/>
    <tableColumn id="46" xr3:uid="{60A31DD1-B933-49AA-B154-8C44FA3D3F2F}" uniqueName="46" name="PARAMETER.CHEMISTRY.LAGA_RC_ORIENTIERUNGSWERT" queryTableFieldId="46" dataDxfId="65"/>
    <tableColumn id="47" xr3:uid="{5D44EE28-B9E3-48A0-A2BA-B4E23CE1C2F1}" uniqueName="47" name="PARAMETER.CHEMISTRY.TL_GESTEIN" queryTableFieldId="47" dataDxfId="64"/>
    <tableColumn id="48" xr3:uid="{1639B7A6-5F78-42FC-A430-E662E0FF3BEE}" uniqueName="48" name="PARAMETER.CHEMISTRY.DEPV" queryTableFieldId="48" dataDxfId="63"/>
    <tableColumn id="49" xr3:uid="{6B10F78D-E8F9-41E6-B732-58683EAA26B4}" uniqueName="49" name="PARAMETER.CHEMISTRY.ENTSCHEIDUNGSHILFE" queryTableFieldId="49" dataDxfId="62"/>
    <tableColumn id="50" xr3:uid="{8E2DB51E-5F76-470A-A87D-FB1FE1BEEC83}" uniqueName="50" name="PARAMETER.CHEMISTRY.REKU" queryTableFieldId="50" dataDxfId="61"/>
    <tableColumn id="51" xr3:uid="{C4DE7668-10FF-47BD-8618-85556FE90926}" uniqueName="51" name="PARAMETER.CHEMISTRY.RUVA" queryTableFieldId="51" dataDxfId="60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5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C3" tableType="queryTable" totalsRowShown="0">
  <autoFilter ref="A1:BC3" xr:uid="{9FA7DA7E-599E-4FE3-A11B-7BE3C7C8E473}"/>
  <tableColumns count="55">
    <tableColumn id="55" xr3:uid="{588E12B3-09EE-4136-8A47-ADACB539223E}" uniqueName="55" name="PROBE.PRIVATE_ID" queryTableFieldId="58"/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5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5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56"/>
    <tableColumn id="27" xr3:uid="{902891BF-4C44-4429-AE57-3AAD8935F399}" uniqueName="27" name="PARAMETER.CHEMISTRY.MUFV" queryTableFieldId="27" dataDxfId="55"/>
    <tableColumn id="28" xr3:uid="{0163579B-8675-4915-B82E-5DDFFC21F068}" uniqueName="28" name="PARAMETER.CHEMISTRY.MUFV_PARAMETER" queryTableFieldId="28" dataDxfId="54"/>
    <tableColumn id="29" xr3:uid="{3E687AF0-BFDA-4066-8D85-AC750FB27FDA}" uniqueName="29" name="PARAMETER.CHEMISTRY.ASBEST" queryTableFieldId="29" dataDxfId="53"/>
    <tableColumn id="30" xr3:uid="{71C9984E-D894-44FC-9976-9D93D2D21604}" uniqueName="30" name="PARAMETER.CHEMISTRY.KMF" queryTableFieldId="30" dataDxfId="52"/>
    <tableColumn id="31" xr3:uid="{8B4C8DA6-6572-4699-A05F-09F5E4C19362}" uniqueName="31" name="PARAMETER.CHEMISTRY.PAK" queryTableFieldId="31" dataDxfId="51"/>
    <tableColumn id="32" xr3:uid="{B9B85D41-AFCE-4533-B5E6-24125385408D}" uniqueName="32" name="PARAMETER.CHEMISTRY.PCB" queryTableFieldId="32" dataDxfId="50"/>
    <tableColumn id="33" xr3:uid="{F4507179-85F8-426A-A8E6-400631C082EF}" uniqueName="33" name="PARAMETER.CHEMISTRY.BTEX" queryTableFieldId="33" dataDxfId="49"/>
    <tableColumn id="34" xr3:uid="{F3FA9695-3EFB-421B-9F14-E940B7BAEE97}" uniqueName="34" name="PARAMETER.CHEMISTRY.EOX" queryTableFieldId="34" dataDxfId="48"/>
    <tableColumn id="35" xr3:uid="{CA6C8245-C111-46C2-9973-26638FB0340B}" uniqueName="35" name="PARAMETER.CHEMISTRY.PHENOLE" queryTableFieldId="35" dataDxfId="47"/>
    <tableColumn id="36" xr3:uid="{55CE9F12-B661-4590-8250-B3BFBF790071}" uniqueName="36" name="PARAMETER.CHEMISTRY.ICP_SCREENING" queryTableFieldId="36" dataDxfId="46"/>
    <tableColumn id="37" xr3:uid="{D164A852-28EB-4196-B9BD-1F98D08D34C5}" uniqueName="37" name="PARAMETER.CHEMISTRY.MKW_C10_C22" queryTableFieldId="37" dataDxfId="45"/>
    <tableColumn id="38" xr3:uid="{297CC18C-733C-440E-806A-C6A285362C3F}" uniqueName="38" name="PARAMETER.CHEMISTRY.MKW_C10_C40" queryTableFieldId="38" dataDxfId="44"/>
    <tableColumn id="39" xr3:uid="{080E079B-0396-48D3-8E4D-F432AA3CE2B6}" uniqueName="39" name="PARAMETER.CHEMISTRY.SULFAT" queryTableFieldId="39" dataDxfId="43"/>
    <tableColumn id="40" xr3:uid="{0F406AE1-339B-449F-B1B8-F8BDD57E1A1E}" uniqueName="40" name="PARAMETER.CHEMISTRY.ALTHOLZ_VERORDNUNG" queryTableFieldId="40" dataDxfId="42"/>
    <tableColumn id="41" xr3:uid="{4F984E01-9D95-4FF1-A5E7-7AFCE5900571}" uniqueName="41" name="PARAMETER.CHEMISTRY.FCKW" queryTableFieldId="41" dataDxfId="41"/>
    <tableColumn id="42" xr3:uid="{CD504F65-4317-4929-A9B0-3E95534C4D14}" uniqueName="42" name="PARAMETER.CHEMISTRY.HBCD" queryTableFieldId="42" dataDxfId="40"/>
    <tableColumn id="43" xr3:uid="{EBC9A661-FC40-4D4E-9852-FCCDDB64CEFE}" uniqueName="43" name="PARAMETER.CHEMISTRY.LAGA_BO" queryTableFieldId="43" dataDxfId="39"/>
    <tableColumn id="44" xr3:uid="{87F8EBEA-4032-4611-B364-574506B13F1D}" uniqueName="44" name="PARAMETER.CHEMISTRY.LAGA_RC" queryTableFieldId="44" dataDxfId="38"/>
    <tableColumn id="45" xr3:uid="{D1FA07D6-1F78-4552-AAC1-A43F8A241C15}" uniqueName="45" name="PARAMETER.CHEMISTRY.LAGA_RC_ORIENTIERUNGSWERT" queryTableFieldId="45" dataDxfId="37"/>
    <tableColumn id="46" xr3:uid="{EE9E9F84-F22A-4D36-9E69-73379F14B8AC}" uniqueName="46" name="PARAMETER.CHEMISTRY.TL_GESTEIN" queryTableFieldId="46" dataDxfId="36"/>
    <tableColumn id="47" xr3:uid="{61C447EC-A975-407A-AC35-08B9EBA86685}" uniqueName="47" name="PARAMETER.CHEMISTRY.DEPV" queryTableFieldId="47" dataDxfId="35"/>
    <tableColumn id="48" xr3:uid="{C658E730-A7C7-4CE8-ABF0-9884889D6E2C}" uniqueName="48" name="PARAMETER.CHEMISTRY.ENTSCHEIDUNGSHILFE" queryTableFieldId="48" dataDxfId="34"/>
    <tableColumn id="49" xr3:uid="{0E2F03C5-E7E3-4E58-95F2-1B5CCF153376}" uniqueName="49" name="PARAMETER.CHEMISTRY.REKU" queryTableFieldId="49" dataDxfId="33"/>
    <tableColumn id="50" xr3:uid="{D490B33E-7ED1-4745-AFE3-BC2A63A7AA99}" uniqueName="50" name="PARAMETER.CHEMISTRY.RUVA" queryTableFieldId="50" dataDxfId="3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3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B10" tableType="queryTable" totalsRowShown="0">
  <autoFilter ref="A1:DB10" xr:uid="{68B44AD0-D5D7-4E41-9CF9-E2AE554DD388}"/>
  <tableColumns count="106">
    <tableColumn id="106" xr3:uid="{1344B7BF-E97C-4FDC-A0AB-E55C6968FBC1}" uniqueName="106" name="PROBE.PRIVATE_ID" queryTableFieldId="111"/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3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2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28"/>
    <tableColumn id="71" xr3:uid="{B2B0DC0A-4F06-4037-BF53-4869770EDC23}" uniqueName="71" name="PARAMETER.LP.EV2" queryTableFieldId="71" dataDxfId="2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26"/>
    <tableColumn id="77" xr3:uid="{BE683E9B-8FDA-40E0-9D5F-6DE1618EE920}" uniqueName="77" name="PARAMETER.CHEMISTRY.ID" queryTableFieldId="77" dataDxfId="25"/>
    <tableColumn id="78" xr3:uid="{49EFDBAC-19CC-4661-B008-77A9DBA07868}" uniqueName="78" name="PARAMETER.CHEMISTRY.MUFV" queryTableFieldId="78" dataDxfId="24"/>
    <tableColumn id="79" xr3:uid="{0715B054-3D90-4ECF-B353-252F004A4F5B}" uniqueName="79" name="PARAMETER.CHEMISTRY.MUFV_PARAMETER" queryTableFieldId="79" dataDxfId="23"/>
    <tableColumn id="80" xr3:uid="{36C55A8A-64FA-4C3C-813E-1FD0EBF52AA9}" uniqueName="80" name="PARAMETER.CHEMISTRY.ASBEST" queryTableFieldId="80" dataDxfId="22"/>
    <tableColumn id="81" xr3:uid="{62A408EB-C7AA-45EB-8EF4-A2E1ECC4C3CC}" uniqueName="81" name="PARAMETER.CHEMISTRY.KMF" queryTableFieldId="81" dataDxfId="21"/>
    <tableColumn id="82" xr3:uid="{62ED9188-F645-41A3-88F0-129B28CEF72F}" uniqueName="82" name="PARAMETER.CHEMISTRY.PAK" queryTableFieldId="82" dataDxfId="20"/>
    <tableColumn id="83" xr3:uid="{19B27EF8-A549-4C1F-9B42-9D430FCAFDFD}" uniqueName="83" name="PARAMETER.CHEMISTRY.PCB" queryTableFieldId="83" dataDxfId="19"/>
    <tableColumn id="84" xr3:uid="{408F9534-9EE6-4547-B5B1-2FBF85B7945F}" uniqueName="84" name="PARAMETER.CHEMISTRY.BTEX" queryTableFieldId="84" dataDxfId="18"/>
    <tableColumn id="85" xr3:uid="{F57E53A5-8FAA-486C-B91D-D459D982FF1A}" uniqueName="85" name="PARAMETER.CHEMISTRY.EOX" queryTableFieldId="85" dataDxfId="17"/>
    <tableColumn id="86" xr3:uid="{D5193380-2EA0-4671-B593-292D080CD9AF}" uniqueName="86" name="PARAMETER.CHEMISTRY.PHENOLE" queryTableFieldId="86" dataDxfId="16"/>
    <tableColumn id="87" xr3:uid="{70FBACBD-54B9-4FF4-98E6-304083C2881B}" uniqueName="87" name="PARAMETER.CHEMISTRY.ICP_SCREENING" queryTableFieldId="87" dataDxfId="15"/>
    <tableColumn id="88" xr3:uid="{8DC2F49B-FB91-43C4-B144-9D71FD8DE9DA}" uniqueName="88" name="PARAMETER.CHEMISTRY.MKW_C10_C22" queryTableFieldId="88" dataDxfId="14"/>
    <tableColumn id="89" xr3:uid="{8C619B32-F2ED-4154-A971-E54C0533BE46}" uniqueName="89" name="PARAMETER.CHEMISTRY.MKW_C10_C40" queryTableFieldId="89" dataDxfId="13"/>
    <tableColumn id="90" xr3:uid="{CBEF3DD2-C9EF-49A2-84C8-2AED4407ED4B}" uniqueName="90" name="PARAMETER.CHEMISTRY.SULFAT" queryTableFieldId="90" dataDxfId="12"/>
    <tableColumn id="91" xr3:uid="{FEA55896-E766-49D4-90F2-914EEDCB0AB2}" uniqueName="91" name="PARAMETER.CHEMISTRY.ALTHOLZ_VERORDNUNG" queryTableFieldId="91" dataDxfId="11"/>
    <tableColumn id="92" xr3:uid="{E7F2BD8B-E27A-4B4F-8A49-93F8BD7D18A0}" uniqueName="92" name="PARAMETER.CHEMISTRY.FCKW" queryTableFieldId="92" dataDxfId="10"/>
    <tableColumn id="93" xr3:uid="{816AEC63-0DEE-4627-8FC7-0E38BBD3281A}" uniqueName="93" name="PARAMETER.CHEMISTRY.HBCD" queryTableFieldId="93" dataDxfId="9"/>
    <tableColumn id="94" xr3:uid="{5D8D0448-FD28-4E36-B3BC-27D314DF815B}" uniqueName="94" name="PARAMETER.CHEMISTRY.LAGA_BO" queryTableFieldId="94" dataDxfId="8"/>
    <tableColumn id="95" xr3:uid="{B9F3D638-C332-49F7-8927-86D91BAC52D8}" uniqueName="95" name="PARAMETER.CHEMISTRY.LAGA_RC" queryTableFieldId="95" dataDxfId="7"/>
    <tableColumn id="96" xr3:uid="{732D813B-F681-4A3D-9F90-E49CDE81F912}" uniqueName="96" name="PARAMETER.CHEMISTRY.LAGA_RC_ORIENTIERUNGSWERT" queryTableFieldId="96" dataDxfId="6"/>
    <tableColumn id="97" xr3:uid="{49B9CC8A-0EFC-4D0B-A20F-E8A8AE5A5B99}" uniqueName="97" name="PARAMETER.CHEMISTRY.TL_GESTEIN" queryTableFieldId="97" dataDxfId="5"/>
    <tableColumn id="98" xr3:uid="{16CD09D6-B40B-4446-A277-4972A7E14642}" uniqueName="98" name="PARAMETER.CHEMISTRY.DEPV" queryTableFieldId="98" dataDxfId="4"/>
    <tableColumn id="99" xr3:uid="{26DD249C-F520-4939-A0C4-C280C03D0BAE}" uniqueName="99" name="PARAMETER.CHEMISTRY.ENTSCHEIDUNGSHILFE" queryTableFieldId="99" dataDxfId="3"/>
    <tableColumn id="100" xr3:uid="{43436799-932D-409B-93DB-A33E627D925B}" uniqueName="100" name="PARAMETER.CHEMISTRY.REKU" queryTableFieldId="100" dataDxfId="2"/>
    <tableColumn id="101" xr3:uid="{4D536224-BE38-42C2-B331-302398CC0060}" uniqueName="101" name="PARAMETER.CHEMISTRY.RUVA" queryTableFieldId="101" dataDxfId="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5" totalsRowShown="0">
  <autoFilter ref="A1:AA5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5" totalsRowShown="0">
  <autoFilter ref="A1:D5" xr:uid="{10D35800-9D67-48C4-AD9A-6C0A5709A897}"/>
  <tableColumns count="4">
    <tableColumn id="1" xr3:uid="{8939B6B1-95AF-4C73-877C-EF82136B8050}" name="ID" dataDxfId="162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161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160">
      <calculatedColumnFormula>"LP"&amp;ROW()-1</calculatedColumnFormula>
    </tableColumn>
    <tableColumn id="2" xr3:uid="{51F153C6-5FF1-44FD-B39F-464F5777D26F}" name="NUMMER" dataDxfId="159">
      <calculatedColumnFormula>ROW()-1</calculatedColumnFormula>
    </tableColumn>
    <tableColumn id="3" xr3:uid="{D635D0C6-EC46-4499-87D8-E68BA2217AC3}" name="WERT_1" dataDxfId="158"/>
    <tableColumn id="4" xr3:uid="{EB4DDFA1-C89E-49B6-A6D9-3E4EE912B328}" name="WERT_2" dataDxfId="157"/>
    <tableColumn id="5" xr3:uid="{675180B4-A186-4E41-9A3F-809597A2D137}" name="WERT_3" dataDxfId="156"/>
    <tableColumn id="6" xr3:uid="{1BCD8931-601C-4036-97BE-6890E0BB8E1A}" name="MITTELWERT" dataDxfId="155">
      <calculatedColumnFormula>IFERROR(AVERAGE(Lp.Table[[#This Row],[WERT_1]:[WERT_3]]),"")</calculatedColumnFormula>
    </tableColumn>
    <tableColumn id="7" xr3:uid="{E52EA34C-9206-4F8E-ADA8-4882EB8536D2}" name="EV" dataDxfId="154">
      <calculatedColumnFormula>IFERROR(ROUND(22.5/Lp.Table[[#This Row],[MITTELWERT]],1),"")</calculatedColumnFormula>
    </tableColumn>
    <tableColumn id="8" xr3:uid="{F82604BB-DC28-42BD-A51D-F8A987DCA29B}" name="EV85" dataDxfId="153">
      <calculatedColumnFormula>IFERROR(ROUND(Lp.Table[[#This Row],[EV]]*0.85,0),"")</calculatedColumnFormula>
    </tableColumn>
    <tableColumn id="9" xr3:uid="{DAF46846-3846-48E2-BAD5-98185ED0BC6A}" name="EV2" dataDxfId="152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151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H8" totalsRowShown="0">
  <autoFilter ref="A1:AH8" xr:uid="{AB98E13D-EE76-407A-9E41-2FEB0148ED29}"/>
  <tableColumns count="34">
    <tableColumn id="23" xr3:uid="{BFEDA679-F33C-4324-AE43-D18D188D239C}" name="PRIVATE_ID" dataDxfId="150">
      <calculatedColumnFormula>"ERK "&amp;ROW()-1</calculatedColumnFormula>
    </tableColumn>
    <tableColumn id="1" xr3:uid="{694A277F-BFC2-43E2-BA7B-9942E6414962}" name="ID"/>
    <tableColumn id="3" xr3:uid="{902726AA-755D-453F-843E-F3D3F46C8599}" name="TYPE" dataDxfId="149">
      <calculatedColumnFormula>"EXPLORATION"</calculatedColumnFormula>
    </tableColumn>
    <tableColumn id="2" xr3:uid="{5E32C2F2-99B1-4F86-B125-5BC77663FE3F}" name="NUMMER"/>
    <tableColumn id="4" xr3:uid="{4963561D-ADA7-4207-B968-F5A9A09EF179}" name="DATUM" dataDxfId="148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147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146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6" totalsRowShown="0" headerRowDxfId="145">
  <autoFilter ref="A1:AE6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144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143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142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41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J2" totalsRowShown="0" headerRowDxfId="140">
  <autoFilter ref="A1:J2" xr:uid="{82681AB7-4CB7-4C37-909F-81BC9A75631F}"/>
  <tableColumns count="10">
    <tableColumn id="10" xr3:uid="{A3E5A29B-6727-4D5F-8B8B-4EA2D3C4F430}" name="PRIVATE_ID">
      <calculatedColumnFormula>"HAUF "&amp;ROW()-1</calculatedColumnFormula>
    </tableColumn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39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38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37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36">
      <calculatedColumnFormula>"HAUFWERK"</calculatedColumnFormula>
    </tableColumn>
    <tableColumn id="6" xr3:uid="{1586FA36-B4DE-4684-9D6E-C35C26DEC2A1}" name="ART"/>
    <tableColumn id="20" xr3:uid="{E39EAB2A-0B3D-4A23-B43E-208E3AAE3017}" name="KOERNUNG" dataDxfId="135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34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33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M3" totalsRowShown="0" headerRowDxfId="132">
  <autoFilter ref="A1:M3" xr:uid="{783D31A9-0098-428A-BD52-FB14AEB31A8E}"/>
  <tableColumns count="13">
    <tableColumn id="13" xr3:uid="{F3E1FB5E-1179-4C1F-A2AD-C862C5D6B3A4}" name="PRIVATE_ID" dataDxfId="131">
      <calculatedColumnFormula>"GEB "&amp;ROW()-1</calculatedColumnFormula>
    </tableColumn>
    <tableColumn id="1" xr3:uid="{DFC95AB4-C2C4-4331-914E-D0BA5DE00A0A}" name="ID"/>
    <tableColumn id="12" xr3:uid="{FE9265EA-15AC-41E0-9077-CF0A8D518D4A}" name="TYPE" dataDxfId="130">
      <calculatedColumnFormula>"BUILDING"</calculatedColumnFormula>
    </tableColumn>
    <tableColumn id="2" xr3:uid="{3EEAA087-E8CD-44B3-8DF7-FA0EE5A08610}" name="NUMMER"/>
    <tableColumn id="3" xr3:uid="{A368117F-57A6-414D-A93E-3A6BD44DE902}" name="DATUM" dataDxfId="129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28" headerRowBorderDxfId="127" tableBorderDxfId="126">
  <autoFilter ref="A1:P3" xr:uid="{3730A37C-629E-4550-A01C-455CDD4A615A}"/>
  <tableColumns count="16">
    <tableColumn id="16" xr3:uid="{54D7B85E-0AC3-4C06-8F98-2D052592AE14}" name="ID" dataDxfId="125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124">
      <calculatedColumnFormula>"LAYER"</calculatedColumnFormula>
    </tableColumn>
    <tableColumn id="4" xr3:uid="{E42478A1-49FD-48AB-BAA7-1896B69635A5}" name="NUMMER"/>
    <tableColumn id="5" xr3:uid="{63C7892F-F854-491A-96AB-FE7C93927D92}" name="AUFSCHLUSS" dataDxfId="123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22">
      <calculatedColumnFormula>Gebaeude.Sample.Table[[#This Row],[TIEFE_ENDE]]-Gebaeude.Sample.Table[[#This Row],[DICKE]]</calculatedColumnFormula>
    </tableColumn>
    <tableColumn id="10" xr3:uid="{5CBF7A6E-AC07-4534-A77E-5433494D3ACF}" name="TIEFE_ENDE" dataDxfId="121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R14"/>
  <sheetViews>
    <sheetView workbookViewId="0">
      <selection activeCell="E17" sqref="E17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52.140625" bestFit="1" customWidth="1"/>
    <col min="11" max="11" width="25.140625" bestFit="1" customWidth="1"/>
    <col min="12" max="12" width="26.140625" bestFit="1" customWidth="1"/>
    <col min="13" max="13" width="32.85546875" bestFit="1" customWidth="1"/>
    <col min="14" max="14" width="20.5703125" bestFit="1" customWidth="1"/>
    <col min="15" max="15" width="28.140625" bestFit="1" customWidth="1"/>
    <col min="16" max="16" width="34.42578125" bestFit="1" customWidth="1"/>
    <col min="17" max="17" width="26.42578125" bestFit="1" customWidth="1"/>
    <col min="18" max="18" width="32.85546875" bestFit="1" customWidth="1"/>
    <col min="19" max="19" width="28.140625" bestFit="1" customWidth="1"/>
    <col min="20" max="20" width="24" bestFit="1" customWidth="1"/>
    <col min="21" max="21" width="29.140625" bestFit="1" customWidth="1"/>
    <col min="22" max="22" width="21.140625" bestFit="1" customWidth="1"/>
    <col min="23" max="23" width="30.5703125" bestFit="1" customWidth="1"/>
    <col min="24" max="24" width="17.85546875" bestFit="1" customWidth="1"/>
    <col min="25" max="33" width="21.7109375" bestFit="1" customWidth="1"/>
    <col min="34" max="34" width="22.7109375" bestFit="1" customWidth="1"/>
    <col min="35" max="35" width="12.85546875" bestFit="1" customWidth="1"/>
    <col min="36" max="36" width="19.5703125" bestFit="1" customWidth="1"/>
    <col min="37" max="37" width="24" bestFit="1" customWidth="1"/>
    <col min="38" max="38" width="17.28515625" bestFit="1" customWidth="1"/>
    <col min="39" max="39" width="15.5703125" bestFit="1" customWidth="1"/>
    <col min="40" max="40" width="15.42578125" bestFit="1" customWidth="1"/>
    <col min="41" max="41" width="20" bestFit="1" customWidth="1"/>
    <col min="42" max="42" width="22.7109375" bestFit="1" customWidth="1"/>
    <col min="43" max="43" width="14.42578125" bestFit="1" customWidth="1"/>
    <col min="44" max="44" width="21.7109375" bestFit="1" customWidth="1"/>
    <col min="45" max="45" width="24" bestFit="1" customWidth="1"/>
    <col min="46" max="46" width="16.28515625" bestFit="1" customWidth="1"/>
    <col min="47" max="47" width="22.28515625" bestFit="1" customWidth="1"/>
    <col min="48" max="48" width="21.5703125" bestFit="1" customWidth="1"/>
    <col min="49" max="49" width="15.7109375" bestFit="1" customWidth="1"/>
    <col min="50" max="50" width="40.42578125" bestFit="1" customWidth="1"/>
    <col min="51" max="51" width="16.7109375" bestFit="1" customWidth="1"/>
    <col min="52" max="52" width="21" bestFit="1" customWidth="1"/>
    <col min="53" max="53" width="22.28515625" bestFit="1" customWidth="1"/>
    <col min="54" max="54" width="24" bestFit="1" customWidth="1"/>
    <col min="55" max="55" width="25.7109375" bestFit="1" customWidth="1"/>
    <col min="56" max="56" width="27.28515625" bestFit="1" customWidth="1"/>
    <col min="57" max="57" width="16.5703125" bestFit="1" customWidth="1"/>
    <col min="58" max="58" width="21.85546875" bestFit="1" customWidth="1"/>
    <col min="59" max="59" width="21.140625" bestFit="1" customWidth="1"/>
    <col min="60" max="60" width="18.5703125" bestFit="1" customWidth="1"/>
    <col min="61" max="61" width="37.5703125" bestFit="1" customWidth="1"/>
    <col min="62" max="62" width="27.28515625" bestFit="1" customWidth="1"/>
    <col min="63" max="63" width="40.7109375" bestFit="1" customWidth="1"/>
    <col min="64" max="64" width="36.140625" bestFit="1" customWidth="1"/>
    <col min="65" max="65" width="28.7109375" bestFit="1" customWidth="1"/>
    <col min="66" max="66" width="19.28515625" bestFit="1" customWidth="1"/>
    <col min="67" max="67" width="26.42578125" bestFit="1" customWidth="1"/>
    <col min="68" max="69" width="24.85546875" bestFit="1" customWidth="1"/>
    <col min="70" max="70" width="24.85546875" style="6" bestFit="1" customWidth="1"/>
    <col min="71" max="71" width="29.28515625" style="6" bestFit="1" customWidth="1"/>
    <col min="72" max="72" width="19.85546875" bestFit="1" customWidth="1"/>
    <col min="73" max="73" width="21.85546875" bestFit="1" customWidth="1"/>
    <col min="74" max="74" width="20.85546875" bestFit="1" customWidth="1"/>
    <col min="75" max="75" width="26.140625" bestFit="1" customWidth="1"/>
    <col min="76" max="76" width="21.140625" style="4" bestFit="1" customWidth="1"/>
    <col min="77" max="77" width="28.28515625" bestFit="1" customWidth="1"/>
    <col min="78" max="78" width="30.28515625" bestFit="1" customWidth="1"/>
    <col min="79" max="79" width="24.5703125" bestFit="1" customWidth="1"/>
    <col min="80" max="80" width="27.85546875" bestFit="1" customWidth="1"/>
    <col min="81" max="81" width="31.5703125" bestFit="1" customWidth="1"/>
    <col min="82" max="82" width="43.85546875" bestFit="1" customWidth="1"/>
    <col min="83" max="83" width="32.5703125" bestFit="1" customWidth="1"/>
    <col min="84" max="84" width="30" bestFit="1" customWidth="1"/>
    <col min="85" max="85" width="29.5703125" bestFit="1" customWidth="1"/>
    <col min="86" max="86" width="29.42578125" bestFit="1" customWidth="1"/>
    <col min="87" max="87" width="30.28515625" bestFit="1" customWidth="1"/>
    <col min="88" max="88" width="29.5703125" bestFit="1" customWidth="1"/>
    <col min="89" max="89" width="34.28515625" bestFit="1" customWidth="1"/>
    <col min="90" max="90" width="40.42578125" bestFit="1" customWidth="1"/>
    <col min="91" max="92" width="39.5703125" bestFit="1" customWidth="1"/>
    <col min="93" max="93" width="32.7109375" bestFit="1" customWidth="1"/>
    <col min="94" max="94" width="48.28515625" bestFit="1" customWidth="1"/>
    <col min="95" max="95" width="31.28515625" bestFit="1" customWidth="1"/>
    <col min="96" max="96" width="30.85546875" bestFit="1" customWidth="1"/>
    <col min="97" max="97" width="34.5703125" bestFit="1" customWidth="1"/>
    <col min="98" max="98" width="34.28515625" bestFit="1" customWidth="1"/>
    <col min="99" max="99" width="55.7109375" bestFit="1" customWidth="1"/>
    <col min="100" max="100" width="36.5703125" bestFit="1" customWidth="1"/>
    <col min="101" max="101" width="30.7109375" bestFit="1" customWidth="1"/>
    <col min="102" max="102" width="46.28515625" bestFit="1" customWidth="1"/>
    <col min="103" max="103" width="30.7109375" bestFit="1" customWidth="1"/>
    <col min="104" max="104" width="31.140625" bestFit="1" customWidth="1"/>
    <col min="105" max="105" width="43.42578125" bestFit="1" customWidth="1"/>
    <col min="106" max="106" width="28.85546875" bestFit="1" customWidth="1"/>
    <col min="107" max="107" width="20.5703125" bestFit="1" customWidth="1"/>
    <col min="108" max="108" width="18.42578125" bestFit="1" customWidth="1"/>
    <col min="109" max="109" width="17.140625" bestFit="1" customWidth="1"/>
    <col min="110" max="110" width="28" bestFit="1" customWidth="1"/>
    <col min="111" max="111" width="17.28515625" bestFit="1" customWidth="1"/>
    <col min="112" max="112" width="26.140625" bestFit="1" customWidth="1"/>
    <col min="113" max="113" width="19.5703125" bestFit="1" customWidth="1"/>
    <col min="114" max="115" width="15.5703125" bestFit="1" customWidth="1"/>
    <col min="116" max="117" width="20.28515625" bestFit="1" customWidth="1"/>
    <col min="118" max="118" width="21.5703125" bestFit="1" customWidth="1"/>
    <col min="119" max="119" width="31.28515625" bestFit="1" customWidth="1"/>
    <col min="120" max="120" width="32.5703125" bestFit="1" customWidth="1"/>
    <col min="121" max="121" width="38.85546875" bestFit="1" customWidth="1"/>
    <col min="122" max="123" width="38.140625" customWidth="1"/>
  </cols>
  <sheetData>
    <row r="1" spans="1:122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329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20</v>
      </c>
      <c r="AJ1" t="s">
        <v>21</v>
      </c>
      <c r="AK1" t="s">
        <v>22</v>
      </c>
      <c r="AL1" t="s">
        <v>25</v>
      </c>
      <c r="AM1" t="s">
        <v>458</v>
      </c>
      <c r="AN1" t="s">
        <v>463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311</v>
      </c>
      <c r="BU1" s="6" t="s">
        <v>312</v>
      </c>
      <c r="BV1" s="6" t="s">
        <v>313</v>
      </c>
      <c r="BW1" t="s">
        <v>314</v>
      </c>
      <c r="BX1" t="s">
        <v>28</v>
      </c>
      <c r="BY1" t="s">
        <v>170</v>
      </c>
      <c r="BZ1" t="s">
        <v>171</v>
      </c>
      <c r="CA1" s="4" t="s">
        <v>172</v>
      </c>
      <c r="CB1" t="s">
        <v>26</v>
      </c>
      <c r="CC1" t="s">
        <v>153</v>
      </c>
      <c r="CD1" t="s">
        <v>154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340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339</v>
      </c>
      <c r="CV1" t="s">
        <v>158</v>
      </c>
      <c r="CW1" t="s">
        <v>159</v>
      </c>
      <c r="CX1" t="s">
        <v>160</v>
      </c>
      <c r="CY1" t="s">
        <v>161</v>
      </c>
      <c r="CZ1" t="s">
        <v>353</v>
      </c>
      <c r="DA1" t="s">
        <v>457</v>
      </c>
      <c r="DB1" t="s">
        <v>155</v>
      </c>
      <c r="DC1" t="s">
        <v>148</v>
      </c>
      <c r="DD1" t="s">
        <v>149</v>
      </c>
      <c r="DE1" t="s">
        <v>18</v>
      </c>
      <c r="DF1" t="s">
        <v>69</v>
      </c>
      <c r="DG1" t="s">
        <v>70</v>
      </c>
      <c r="DH1" t="s">
        <v>71</v>
      </c>
      <c r="DI1" t="s">
        <v>310</v>
      </c>
      <c r="DJ1" t="s">
        <v>72</v>
      </c>
      <c r="DK1" t="s">
        <v>73</v>
      </c>
      <c r="DL1" t="s">
        <v>74</v>
      </c>
      <c r="DM1" t="s">
        <v>147</v>
      </c>
      <c r="DN1" t="s">
        <v>150</v>
      </c>
      <c r="DO1" t="s">
        <v>436</v>
      </c>
      <c r="DP1" t="s">
        <v>151</v>
      </c>
      <c r="DQ1" t="s">
        <v>152</v>
      </c>
      <c r="DR1" t="s">
        <v>307</v>
      </c>
    </row>
    <row r="2" spans="1:122" x14ac:dyDescent="0.25">
      <c r="A2" t="s">
        <v>495</v>
      </c>
      <c r="B2" t="s">
        <v>0</v>
      </c>
      <c r="C2" t="s">
        <v>465</v>
      </c>
      <c r="D2">
        <v>1</v>
      </c>
      <c r="E2" s="28"/>
      <c r="AI2" t="s">
        <v>501</v>
      </c>
      <c r="AJ2" t="s">
        <v>0</v>
      </c>
      <c r="AN2" t="s">
        <v>461</v>
      </c>
      <c r="AO2">
        <v>3</v>
      </c>
      <c r="AP2" t="s">
        <v>232</v>
      </c>
      <c r="AQ2" t="s">
        <v>520</v>
      </c>
      <c r="AT2">
        <v>80</v>
      </c>
      <c r="BG2" t="s">
        <v>520</v>
      </c>
      <c r="BR2"/>
      <c r="BS2" s="1"/>
      <c r="BU2" s="6"/>
      <c r="BV2" s="6"/>
      <c r="BX2"/>
      <c r="CA2" s="4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B2" s="1"/>
      <c r="DQ2" s="1"/>
      <c r="DR2" s="1"/>
    </row>
    <row r="3" spans="1:122" x14ac:dyDescent="0.25">
      <c r="A3" t="s">
        <v>495</v>
      </c>
      <c r="B3" t="s">
        <v>0</v>
      </c>
      <c r="C3" t="s">
        <v>465</v>
      </c>
      <c r="D3">
        <v>1</v>
      </c>
      <c r="E3" s="28"/>
      <c r="AI3" t="s">
        <v>455</v>
      </c>
      <c r="AJ3" t="s">
        <v>0</v>
      </c>
      <c r="AK3" t="s">
        <v>3</v>
      </c>
      <c r="AL3" t="s">
        <v>471</v>
      </c>
      <c r="AM3" t="s">
        <v>470</v>
      </c>
      <c r="AN3" t="s">
        <v>461</v>
      </c>
      <c r="AO3">
        <v>2</v>
      </c>
      <c r="AP3" t="s">
        <v>190</v>
      </c>
      <c r="AQ3" t="s">
        <v>189</v>
      </c>
      <c r="AT3">
        <v>3</v>
      </c>
      <c r="BG3" t="s">
        <v>308</v>
      </c>
      <c r="BN3" t="s">
        <v>470</v>
      </c>
      <c r="BO3">
        <v>3</v>
      </c>
      <c r="BP3">
        <v>1</v>
      </c>
      <c r="BQ3">
        <v>3214</v>
      </c>
      <c r="BR3">
        <v>123</v>
      </c>
      <c r="BS3" s="1">
        <v>1112.67</v>
      </c>
      <c r="BT3">
        <v>0</v>
      </c>
      <c r="BU3" s="6">
        <v>0</v>
      </c>
      <c r="BV3" s="6" t="s">
        <v>496</v>
      </c>
      <c r="BX3" t="s">
        <v>471</v>
      </c>
      <c r="BY3">
        <v>3</v>
      </c>
      <c r="BZ3" t="s">
        <v>315</v>
      </c>
      <c r="CA3" s="4">
        <v>23</v>
      </c>
      <c r="CB3" s="1" t="s">
        <v>3</v>
      </c>
      <c r="CC3" s="1" t="s">
        <v>238</v>
      </c>
      <c r="CD3" s="1"/>
      <c r="CE3" s="1" t="s">
        <v>243</v>
      </c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 t="s">
        <v>286</v>
      </c>
      <c r="CT3" s="1" t="s">
        <v>269</v>
      </c>
      <c r="CU3" s="1"/>
      <c r="CV3" s="1"/>
      <c r="CW3" s="1"/>
      <c r="CX3" s="1"/>
      <c r="CY3" s="1"/>
      <c r="CZ3" s="1"/>
      <c r="DB3" s="1"/>
      <c r="DQ3" s="1"/>
      <c r="DR3" s="1"/>
    </row>
    <row r="4" spans="1:122" x14ac:dyDescent="0.25">
      <c r="A4" t="s">
        <v>495</v>
      </c>
      <c r="B4" t="s">
        <v>0</v>
      </c>
      <c r="C4" t="s">
        <v>465</v>
      </c>
      <c r="D4">
        <v>1</v>
      </c>
      <c r="E4" s="28"/>
      <c r="AI4" t="s">
        <v>444</v>
      </c>
      <c r="AJ4" t="s">
        <v>0</v>
      </c>
      <c r="AK4" t="s">
        <v>3</v>
      </c>
      <c r="AM4" t="s">
        <v>470</v>
      </c>
      <c r="AN4" t="s">
        <v>461</v>
      </c>
      <c r="AO4">
        <v>1</v>
      </c>
      <c r="AP4" t="s">
        <v>190</v>
      </c>
      <c r="AQ4" t="s">
        <v>189</v>
      </c>
      <c r="AR4" t="s">
        <v>316</v>
      </c>
      <c r="AT4">
        <v>17</v>
      </c>
      <c r="AW4" t="s">
        <v>220</v>
      </c>
      <c r="AX4" t="s">
        <v>216</v>
      </c>
      <c r="AY4" t="s">
        <v>451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308</v>
      </c>
      <c r="BH4" t="s">
        <v>405</v>
      </c>
      <c r="BI4">
        <v>1</v>
      </c>
      <c r="BJ4" t="s">
        <v>452</v>
      </c>
      <c r="BK4" t="s">
        <v>452</v>
      </c>
      <c r="BL4" t="s">
        <v>220</v>
      </c>
      <c r="BM4" t="s">
        <v>452</v>
      </c>
      <c r="BN4" t="s">
        <v>470</v>
      </c>
      <c r="BO4">
        <v>3</v>
      </c>
      <c r="BP4">
        <v>1</v>
      </c>
      <c r="BQ4">
        <v>3214</v>
      </c>
      <c r="BR4">
        <v>123</v>
      </c>
      <c r="BS4" s="1">
        <v>1112.67</v>
      </c>
      <c r="BT4">
        <v>0</v>
      </c>
      <c r="BU4" s="6">
        <v>0</v>
      </c>
      <c r="BV4" s="6" t="s">
        <v>496</v>
      </c>
      <c r="BX4"/>
      <c r="CA4" s="4"/>
      <c r="CB4" s="1" t="s">
        <v>3</v>
      </c>
      <c r="CC4" s="1" t="s">
        <v>238</v>
      </c>
      <c r="CD4" s="1"/>
      <c r="CE4" s="1" t="s">
        <v>243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 t="s">
        <v>286</v>
      </c>
      <c r="CT4" s="1" t="s">
        <v>269</v>
      </c>
      <c r="CU4" s="1"/>
      <c r="CV4" s="1"/>
      <c r="CW4" s="1"/>
      <c r="CX4" s="1"/>
      <c r="CY4" s="1"/>
      <c r="CZ4" s="1"/>
      <c r="DB4" s="1"/>
      <c r="DQ4" s="1"/>
      <c r="DR4" s="1"/>
    </row>
    <row r="5" spans="1:122" x14ac:dyDescent="0.25">
      <c r="A5" t="s">
        <v>497</v>
      </c>
      <c r="B5" t="s">
        <v>472</v>
      </c>
      <c r="C5" t="s">
        <v>465</v>
      </c>
      <c r="D5">
        <v>2</v>
      </c>
      <c r="E5" s="28"/>
      <c r="M5" t="s">
        <v>227</v>
      </c>
      <c r="AI5" t="s">
        <v>521</v>
      </c>
      <c r="AJ5" t="s">
        <v>472</v>
      </c>
      <c r="AK5" t="s">
        <v>478</v>
      </c>
      <c r="AN5" t="s">
        <v>461</v>
      </c>
      <c r="AO5">
        <v>1</v>
      </c>
      <c r="AP5" t="s">
        <v>250</v>
      </c>
      <c r="AQ5" t="s">
        <v>506</v>
      </c>
      <c r="AT5">
        <v>13</v>
      </c>
      <c r="BG5" t="s">
        <v>508</v>
      </c>
      <c r="BR5"/>
      <c r="BS5" s="1"/>
      <c r="BU5" s="6"/>
      <c r="BV5" s="6"/>
      <c r="BX5"/>
      <c r="CA5" s="4"/>
      <c r="CB5" s="1" t="s">
        <v>478</v>
      </c>
      <c r="CC5" s="1" t="s">
        <v>238</v>
      </c>
      <c r="CD5" s="1"/>
      <c r="CE5" s="1" t="s">
        <v>243</v>
      </c>
      <c r="CF5" s="1"/>
      <c r="CG5" s="1"/>
      <c r="CH5" s="1" t="s">
        <v>454</v>
      </c>
      <c r="CI5" s="1" t="s">
        <v>454</v>
      </c>
      <c r="CJ5" s="1" t="s">
        <v>454</v>
      </c>
      <c r="CK5" s="1" t="s">
        <v>454</v>
      </c>
      <c r="CL5" s="1" t="s">
        <v>454</v>
      </c>
      <c r="CM5" s="1" t="s">
        <v>454</v>
      </c>
      <c r="CN5" s="1" t="s">
        <v>454</v>
      </c>
      <c r="CO5" s="1" t="s">
        <v>454</v>
      </c>
      <c r="CP5" s="1" t="s">
        <v>405</v>
      </c>
      <c r="CQ5" s="1" t="s">
        <v>454</v>
      </c>
      <c r="CR5" s="1" t="s">
        <v>454</v>
      </c>
      <c r="CS5" s="1" t="s">
        <v>221</v>
      </c>
      <c r="CT5" s="1" t="s">
        <v>221</v>
      </c>
      <c r="CU5" s="1" t="s">
        <v>240</v>
      </c>
      <c r="CV5" s="1" t="s">
        <v>270</v>
      </c>
      <c r="CW5" s="1" t="s">
        <v>223</v>
      </c>
      <c r="CX5" s="1" t="s">
        <v>242</v>
      </c>
      <c r="CY5" s="1" t="s">
        <v>5</v>
      </c>
      <c r="CZ5" s="1" t="s">
        <v>454</v>
      </c>
      <c r="DB5" s="1" t="s">
        <v>240</v>
      </c>
      <c r="DQ5" s="1"/>
      <c r="DR5" s="1"/>
    </row>
    <row r="6" spans="1:122" x14ac:dyDescent="0.25">
      <c r="A6" t="s">
        <v>498</v>
      </c>
      <c r="B6" t="s">
        <v>473</v>
      </c>
      <c r="C6" t="s">
        <v>465</v>
      </c>
      <c r="D6">
        <v>3</v>
      </c>
      <c r="E6" s="28">
        <v>44208</v>
      </c>
      <c r="K6" t="s">
        <v>244</v>
      </c>
      <c r="L6" t="s">
        <v>228</v>
      </c>
      <c r="N6" t="s">
        <v>260</v>
      </c>
      <c r="O6">
        <v>3.2</v>
      </c>
      <c r="Q6" t="s">
        <v>231</v>
      </c>
      <c r="R6" t="s">
        <v>231</v>
      </c>
      <c r="S6" t="s">
        <v>273</v>
      </c>
      <c r="BR6"/>
      <c r="BS6" s="1"/>
      <c r="BU6" s="6"/>
      <c r="BV6" s="6"/>
      <c r="BX6"/>
      <c r="CA6" s="4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/>
      <c r="DQ6" s="1"/>
      <c r="DR6" s="1"/>
    </row>
    <row r="7" spans="1:122" x14ac:dyDescent="0.25">
      <c r="A7" t="s">
        <v>499</v>
      </c>
      <c r="B7" t="s">
        <v>475</v>
      </c>
      <c r="C7" t="s">
        <v>465</v>
      </c>
      <c r="D7">
        <v>4</v>
      </c>
      <c r="E7" s="28">
        <v>40922</v>
      </c>
      <c r="BR7"/>
      <c r="BS7" s="1"/>
      <c r="BU7" s="6"/>
      <c r="BV7" s="6"/>
      <c r="BX7"/>
      <c r="CA7" s="4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B7" s="1"/>
      <c r="DQ7" s="1"/>
      <c r="DR7" s="1"/>
    </row>
    <row r="8" spans="1:122" x14ac:dyDescent="0.25">
      <c r="A8" t="s">
        <v>505</v>
      </c>
      <c r="B8" t="s">
        <v>504</v>
      </c>
      <c r="C8" t="s">
        <v>465</v>
      </c>
      <c r="D8">
        <v>5</v>
      </c>
      <c r="E8" s="28"/>
      <c r="BR8"/>
      <c r="BS8" s="1"/>
      <c r="BU8" s="6"/>
      <c r="BV8" s="6"/>
      <c r="BX8"/>
      <c r="CA8" s="4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/>
      <c r="DQ8" s="1"/>
      <c r="DR8" s="1"/>
    </row>
    <row r="9" spans="1:122" x14ac:dyDescent="0.25">
      <c r="A9" t="s">
        <v>500</v>
      </c>
      <c r="B9" t="s">
        <v>477</v>
      </c>
      <c r="C9" t="s">
        <v>465</v>
      </c>
      <c r="D9">
        <v>6</v>
      </c>
      <c r="E9" s="28"/>
      <c r="AI9" t="s">
        <v>507</v>
      </c>
      <c r="AJ9" t="s">
        <v>477</v>
      </c>
      <c r="AK9" t="s">
        <v>478</v>
      </c>
      <c r="AL9" t="s">
        <v>469</v>
      </c>
      <c r="AM9" t="s">
        <v>479</v>
      </c>
      <c r="AN9" t="s">
        <v>461</v>
      </c>
      <c r="AO9">
        <v>1</v>
      </c>
      <c r="AP9" t="s">
        <v>263</v>
      </c>
      <c r="AQ9" t="s">
        <v>480</v>
      </c>
      <c r="AT9">
        <v>2</v>
      </c>
      <c r="BG9" t="s">
        <v>480</v>
      </c>
      <c r="BN9" t="s">
        <v>479</v>
      </c>
      <c r="BO9">
        <v>1</v>
      </c>
      <c r="BP9">
        <v>1</v>
      </c>
      <c r="BQ9">
        <v>1</v>
      </c>
      <c r="BR9">
        <v>1</v>
      </c>
      <c r="BS9" s="1">
        <v>1</v>
      </c>
      <c r="BT9">
        <v>22.5</v>
      </c>
      <c r="BU9" s="6">
        <v>19</v>
      </c>
      <c r="BV9" s="6" t="s">
        <v>496</v>
      </c>
      <c r="BW9">
        <v>120</v>
      </c>
      <c r="BX9" t="s">
        <v>469</v>
      </c>
      <c r="BY9">
        <v>2</v>
      </c>
      <c r="BZ9" t="s">
        <v>315</v>
      </c>
      <c r="CA9" s="4">
        <v>1</v>
      </c>
      <c r="CB9" s="1" t="s">
        <v>478</v>
      </c>
      <c r="CC9" s="1" t="s">
        <v>238</v>
      </c>
      <c r="CD9" s="1"/>
      <c r="CE9" s="1" t="s">
        <v>243</v>
      </c>
      <c r="CF9" s="1"/>
      <c r="CG9" s="1"/>
      <c r="CH9" s="1" t="s">
        <v>454</v>
      </c>
      <c r="CI9" s="1" t="s">
        <v>454</v>
      </c>
      <c r="CJ9" s="1" t="s">
        <v>454</v>
      </c>
      <c r="CK9" s="1" t="s">
        <v>454</v>
      </c>
      <c r="CL9" s="1" t="s">
        <v>454</v>
      </c>
      <c r="CM9" s="1" t="s">
        <v>454</v>
      </c>
      <c r="CN9" s="1" t="s">
        <v>454</v>
      </c>
      <c r="CO9" s="1" t="s">
        <v>454</v>
      </c>
      <c r="CP9" s="1" t="s">
        <v>405</v>
      </c>
      <c r="CQ9" s="1" t="s">
        <v>454</v>
      </c>
      <c r="CR9" s="1" t="s">
        <v>454</v>
      </c>
      <c r="CS9" s="1" t="s">
        <v>221</v>
      </c>
      <c r="CT9" s="1" t="s">
        <v>221</v>
      </c>
      <c r="CU9" s="1" t="s">
        <v>240</v>
      </c>
      <c r="CV9" s="1" t="s">
        <v>270</v>
      </c>
      <c r="CW9" s="1" t="s">
        <v>223</v>
      </c>
      <c r="CX9" s="1" t="s">
        <v>242</v>
      </c>
      <c r="CY9" s="1" t="s">
        <v>5</v>
      </c>
      <c r="CZ9" s="1" t="s">
        <v>454</v>
      </c>
      <c r="DB9" s="1" t="s">
        <v>240</v>
      </c>
      <c r="DQ9" s="1"/>
      <c r="DR9" s="1"/>
    </row>
    <row r="10" spans="1:122" x14ac:dyDescent="0.25">
      <c r="A10" t="s">
        <v>515</v>
      </c>
      <c r="B10" t="s">
        <v>513</v>
      </c>
      <c r="C10" t="s">
        <v>465</v>
      </c>
      <c r="D10">
        <v>7</v>
      </c>
      <c r="E10" s="28">
        <v>33635</v>
      </c>
      <c r="BR10"/>
      <c r="BS10" s="1"/>
      <c r="BU10" s="6"/>
      <c r="BV10" s="6"/>
      <c r="BX10"/>
      <c r="CA10" s="4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/>
      <c r="DQ10" s="1"/>
      <c r="DR10" s="1"/>
    </row>
    <row r="11" spans="1:122" x14ac:dyDescent="0.25">
      <c r="A11" t="s">
        <v>502</v>
      </c>
      <c r="B11" t="s">
        <v>1</v>
      </c>
      <c r="C11" t="s">
        <v>460</v>
      </c>
      <c r="D11">
        <v>1</v>
      </c>
      <c r="E11" s="28">
        <v>44425</v>
      </c>
      <c r="F11" t="s">
        <v>347</v>
      </c>
      <c r="G11" t="s">
        <v>341</v>
      </c>
      <c r="H11" t="s">
        <v>348</v>
      </c>
      <c r="I11" t="s">
        <v>342</v>
      </c>
      <c r="J11" t="s">
        <v>343</v>
      </c>
      <c r="AI11" t="s">
        <v>453</v>
      </c>
      <c r="AJ11" t="s">
        <v>1</v>
      </c>
      <c r="AK11" t="s">
        <v>344</v>
      </c>
      <c r="AN11" t="s">
        <v>466</v>
      </c>
      <c r="AO11">
        <v>2</v>
      </c>
      <c r="AP11" t="s">
        <v>318</v>
      </c>
      <c r="AQ11" t="s">
        <v>446</v>
      </c>
      <c r="AR11" t="s">
        <v>448</v>
      </c>
      <c r="AS11" t="s">
        <v>450</v>
      </c>
      <c r="AW11" t="s">
        <v>220</v>
      </c>
      <c r="AY11" t="s">
        <v>445</v>
      </c>
      <c r="AZ11" t="s">
        <v>266</v>
      </c>
      <c r="BF11" t="s">
        <v>215</v>
      </c>
      <c r="BG11" t="s">
        <v>446</v>
      </c>
      <c r="BH11" t="s">
        <v>449</v>
      </c>
      <c r="BR11"/>
      <c r="BS11" s="1"/>
      <c r="BU11" s="6"/>
      <c r="BV11" s="6"/>
      <c r="BX11"/>
      <c r="CA11" s="4"/>
      <c r="CB11" s="1" t="s">
        <v>344</v>
      </c>
      <c r="CC11" s="1" t="s">
        <v>4</v>
      </c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B11" s="1"/>
      <c r="DC11">
        <v>250</v>
      </c>
      <c r="DD11">
        <v>7</v>
      </c>
      <c r="DQ11" s="1"/>
      <c r="DR11" s="1"/>
    </row>
    <row r="12" spans="1:122" x14ac:dyDescent="0.25">
      <c r="A12" t="s">
        <v>502</v>
      </c>
      <c r="B12" t="s">
        <v>1</v>
      </c>
      <c r="C12" t="s">
        <v>460</v>
      </c>
      <c r="D12">
        <v>1</v>
      </c>
      <c r="E12" s="28">
        <v>44425</v>
      </c>
      <c r="F12" t="s">
        <v>347</v>
      </c>
      <c r="G12" t="s">
        <v>341</v>
      </c>
      <c r="H12" t="s">
        <v>348</v>
      </c>
      <c r="I12" t="s">
        <v>342</v>
      </c>
      <c r="J12" t="s">
        <v>343</v>
      </c>
      <c r="AI12" t="s">
        <v>443</v>
      </c>
      <c r="AJ12" t="s">
        <v>1</v>
      </c>
      <c r="AK12" t="s">
        <v>3</v>
      </c>
      <c r="AN12" t="s">
        <v>466</v>
      </c>
      <c r="AO12">
        <v>1</v>
      </c>
      <c r="AP12" t="s">
        <v>318</v>
      </c>
      <c r="AQ12" t="s">
        <v>346</v>
      </c>
      <c r="AR12" t="s">
        <v>345</v>
      </c>
      <c r="AY12" t="s">
        <v>350</v>
      </c>
      <c r="AZ12" t="s">
        <v>235</v>
      </c>
      <c r="BE12" t="s">
        <v>351</v>
      </c>
      <c r="BF12" t="s">
        <v>233</v>
      </c>
      <c r="BG12" t="s">
        <v>349</v>
      </c>
      <c r="BH12" t="s">
        <v>309</v>
      </c>
      <c r="BR12"/>
      <c r="BS12" s="1"/>
      <c r="BU12" s="6"/>
      <c r="BV12" s="6"/>
      <c r="BX12"/>
      <c r="CA12" s="4"/>
      <c r="CB12" s="1" t="s">
        <v>3</v>
      </c>
      <c r="CC12" s="1" t="s">
        <v>238</v>
      </c>
      <c r="CD12" s="1"/>
      <c r="CE12" s="1" t="s">
        <v>243</v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 t="s">
        <v>286</v>
      </c>
      <c r="CT12" s="1" t="s">
        <v>269</v>
      </c>
      <c r="CU12" s="1"/>
      <c r="CV12" s="1"/>
      <c r="CW12" s="1"/>
      <c r="CX12" s="1"/>
      <c r="CY12" s="1"/>
      <c r="CZ12" s="1"/>
      <c r="DB12" s="1"/>
      <c r="DC12">
        <v>250</v>
      </c>
      <c r="DD12">
        <v>7</v>
      </c>
      <c r="DQ12" s="1"/>
      <c r="DR12" s="1"/>
    </row>
    <row r="13" spans="1:122" x14ac:dyDescent="0.25">
      <c r="A13" t="s">
        <v>493</v>
      </c>
      <c r="B13" t="s">
        <v>447</v>
      </c>
      <c r="C13" t="s">
        <v>464</v>
      </c>
      <c r="D13">
        <v>0</v>
      </c>
      <c r="E13" s="28"/>
      <c r="AI13" t="s">
        <v>467</v>
      </c>
      <c r="AJ13" t="s">
        <v>447</v>
      </c>
      <c r="AN13" t="s">
        <v>461</v>
      </c>
      <c r="AO13">
        <v>1</v>
      </c>
      <c r="AP13" t="s">
        <v>304</v>
      </c>
      <c r="AT13">
        <v>2</v>
      </c>
      <c r="BR13"/>
      <c r="BS13" s="1"/>
      <c r="BU13" s="6"/>
      <c r="BV13" s="6"/>
      <c r="BX13"/>
      <c r="CA13" s="4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B13" s="1"/>
      <c r="DQ13" s="1"/>
      <c r="DR13" s="1"/>
    </row>
    <row r="14" spans="1:122" x14ac:dyDescent="0.25">
      <c r="A14" t="s">
        <v>494</v>
      </c>
      <c r="B14" t="s">
        <v>2</v>
      </c>
      <c r="C14" t="s">
        <v>464</v>
      </c>
      <c r="D14">
        <v>1</v>
      </c>
      <c r="E14" s="28">
        <v>44165</v>
      </c>
      <c r="AI14" t="s">
        <v>468</v>
      </c>
      <c r="AJ14" t="s">
        <v>2</v>
      </c>
      <c r="AK14" t="s">
        <v>344</v>
      </c>
      <c r="AN14" t="s">
        <v>461</v>
      </c>
      <c r="AO14">
        <v>1</v>
      </c>
      <c r="AP14" t="s">
        <v>304</v>
      </c>
      <c r="AT14">
        <v>3</v>
      </c>
      <c r="BR14"/>
      <c r="BS14" s="1"/>
      <c r="BU14" s="6"/>
      <c r="BV14" s="6"/>
      <c r="BX14"/>
      <c r="CA14" s="4"/>
      <c r="CB14" s="1" t="s">
        <v>344</v>
      </c>
      <c r="CC14" s="1" t="s">
        <v>4</v>
      </c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B14" s="1"/>
      <c r="DE14" t="s">
        <v>354</v>
      </c>
      <c r="DF14" t="s">
        <v>300</v>
      </c>
      <c r="DH14" t="s">
        <v>355</v>
      </c>
      <c r="DI14" t="s">
        <v>354</v>
      </c>
      <c r="DJ14" t="s">
        <v>356</v>
      </c>
      <c r="DL14" t="s">
        <v>411</v>
      </c>
      <c r="DQ14" s="1"/>
      <c r="DR14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D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140625" bestFit="1" customWidth="1"/>
    <col min="7" max="7" width="28" bestFit="1" customWidth="1"/>
    <col min="8" max="8" width="17.28515625" bestFit="1" customWidth="1"/>
    <col min="9" max="9" width="26.140625" bestFit="1" customWidth="1"/>
    <col min="10" max="10" width="19.5703125" bestFit="1" customWidth="1"/>
    <col min="11" max="12" width="15.5703125" bestFit="1" customWidth="1"/>
    <col min="13" max="13" width="20.28515625" bestFit="1" customWidth="1"/>
    <col min="14" max="14" width="12.85546875" bestFit="1" customWidth="1"/>
    <col min="15" max="15" width="19.5703125" bestFit="1" customWidth="1"/>
    <col min="16" max="16" width="24" bestFit="1" customWidth="1"/>
    <col min="17" max="17" width="15.42578125" bestFit="1" customWidth="1"/>
    <col min="18" max="18" width="20" bestFit="1" customWidth="1"/>
    <col min="19" max="19" width="22.7109375" bestFit="1" customWidth="1"/>
    <col min="20" max="20" width="20.28515625" bestFit="1" customWidth="1"/>
    <col min="21" max="21" width="16.7109375" bestFit="1" customWidth="1"/>
    <col min="22" max="22" width="16.28515625" bestFit="1" customWidth="1"/>
    <col min="23" max="23" width="22.28515625" bestFit="1" customWidth="1"/>
    <col min="24" max="25" width="21.5703125" bestFit="1" customWidth="1"/>
    <col min="26" max="26" width="31.28515625" bestFit="1" customWidth="1"/>
    <col min="27" max="27" width="32.5703125" bestFit="1" customWidth="1"/>
    <col min="28" max="28" width="38.85546875" bestFit="1" customWidth="1"/>
    <col min="29" max="29" width="38.140625" bestFit="1" customWidth="1"/>
    <col min="30" max="30" width="27.85546875" bestFit="1" customWidth="1"/>
    <col min="31" max="31" width="31.5703125" bestFit="1" customWidth="1"/>
    <col min="32" max="32" width="43.85546875" bestFit="1" customWidth="1"/>
    <col min="33" max="33" width="32.5703125" bestFit="1" customWidth="1"/>
    <col min="34" max="34" width="30" bestFit="1" customWidth="1"/>
    <col min="35" max="35" width="29.5703125" bestFit="1" customWidth="1"/>
    <col min="36" max="36" width="29.42578125" bestFit="1" customWidth="1"/>
    <col min="37" max="37" width="30.28515625" bestFit="1" customWidth="1"/>
    <col min="38" max="38" width="29.5703125" bestFit="1" customWidth="1"/>
    <col min="39" max="39" width="34.28515625" bestFit="1" customWidth="1"/>
    <col min="40" max="40" width="40.42578125" bestFit="1" customWidth="1"/>
    <col min="41" max="42" width="39.5703125" bestFit="1" customWidth="1"/>
    <col min="43" max="43" width="32.7109375" bestFit="1" customWidth="1"/>
    <col min="44" max="44" width="48.28515625" bestFit="1" customWidth="1"/>
    <col min="45" max="45" width="31.28515625" bestFit="1" customWidth="1"/>
    <col min="46" max="46" width="30.85546875" bestFit="1" customWidth="1"/>
    <col min="47" max="47" width="34.5703125" bestFit="1" customWidth="1"/>
    <col min="48" max="48" width="34.28515625" bestFit="1" customWidth="1"/>
    <col min="49" max="49" width="55.7109375" bestFit="1" customWidth="1"/>
    <col min="50" max="50" width="36.5703125" bestFit="1" customWidth="1"/>
    <col min="51" max="51" width="30.7109375" bestFit="1" customWidth="1"/>
    <col min="52" max="52" width="46.28515625" bestFit="1" customWidth="1"/>
    <col min="53" max="53" width="30.7109375" bestFit="1" customWidth="1"/>
    <col min="54" max="54" width="31.140625" bestFit="1" customWidth="1"/>
    <col min="55" max="55" width="43.42578125" bestFit="1" customWidth="1"/>
    <col min="56" max="57" width="28.85546875" customWidth="1"/>
  </cols>
  <sheetData>
    <row r="1" spans="1:56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18</v>
      </c>
      <c r="G1" t="s">
        <v>69</v>
      </c>
      <c r="H1" t="s">
        <v>70</v>
      </c>
      <c r="I1" t="s">
        <v>71</v>
      </c>
      <c r="J1" t="s">
        <v>310</v>
      </c>
      <c r="K1" t="s">
        <v>72</v>
      </c>
      <c r="L1" t="s">
        <v>73</v>
      </c>
      <c r="M1" t="s">
        <v>74</v>
      </c>
      <c r="N1" t="s">
        <v>20</v>
      </c>
      <c r="O1" t="s">
        <v>21</v>
      </c>
      <c r="P1" t="s">
        <v>22</v>
      </c>
      <c r="Q1" t="s">
        <v>463</v>
      </c>
      <c r="R1" t="s">
        <v>122</v>
      </c>
      <c r="S1" t="s">
        <v>123</v>
      </c>
      <c r="T1" t="s">
        <v>147</v>
      </c>
      <c r="U1" t="s">
        <v>132</v>
      </c>
      <c r="V1" t="s">
        <v>127</v>
      </c>
      <c r="W1" t="s">
        <v>128</v>
      </c>
      <c r="X1" t="s">
        <v>129</v>
      </c>
      <c r="Y1" t="s">
        <v>150</v>
      </c>
      <c r="Z1" t="s">
        <v>436</v>
      </c>
      <c r="AA1" t="s">
        <v>151</v>
      </c>
      <c r="AB1" t="s">
        <v>152</v>
      </c>
      <c r="AC1" t="s">
        <v>307</v>
      </c>
      <c r="AD1" t="s">
        <v>26</v>
      </c>
      <c r="AE1" t="s">
        <v>153</v>
      </c>
      <c r="AF1" t="s">
        <v>154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340</v>
      </c>
      <c r="AN1" t="s">
        <v>179</v>
      </c>
      <c r="AO1" t="s">
        <v>441</v>
      </c>
      <c r="AP1" t="s">
        <v>442</v>
      </c>
      <c r="AQ1" t="s">
        <v>180</v>
      </c>
      <c r="AR1" t="s">
        <v>183</v>
      </c>
      <c r="AS1" t="s">
        <v>437</v>
      </c>
      <c r="AT1" t="s">
        <v>438</v>
      </c>
      <c r="AU1" t="s">
        <v>156</v>
      </c>
      <c r="AV1" t="s">
        <v>157</v>
      </c>
      <c r="AW1" t="s">
        <v>339</v>
      </c>
      <c r="AX1" t="s">
        <v>158</v>
      </c>
      <c r="AY1" t="s">
        <v>159</v>
      </c>
      <c r="AZ1" t="s">
        <v>160</v>
      </c>
      <c r="BA1" t="s">
        <v>161</v>
      </c>
      <c r="BB1" t="s">
        <v>353</v>
      </c>
      <c r="BC1" t="s">
        <v>457</v>
      </c>
      <c r="BD1" t="s">
        <v>155</v>
      </c>
    </row>
    <row r="2" spans="1:56" x14ac:dyDescent="0.25">
      <c r="A2" t="s">
        <v>493</v>
      </c>
      <c r="B2" t="s">
        <v>447</v>
      </c>
      <c r="C2" t="s">
        <v>464</v>
      </c>
      <c r="D2">
        <v>0</v>
      </c>
      <c r="E2" s="11"/>
      <c r="N2" t="s">
        <v>467</v>
      </c>
      <c r="O2" t="s">
        <v>447</v>
      </c>
      <c r="Q2" t="s">
        <v>461</v>
      </c>
      <c r="R2">
        <v>1</v>
      </c>
      <c r="S2" t="s">
        <v>304</v>
      </c>
      <c r="V2">
        <v>2</v>
      </c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D2" s="1"/>
    </row>
    <row r="3" spans="1:56" x14ac:dyDescent="0.25">
      <c r="A3" t="s">
        <v>494</v>
      </c>
      <c r="B3" t="s">
        <v>2</v>
      </c>
      <c r="C3" t="s">
        <v>464</v>
      </c>
      <c r="D3">
        <v>1</v>
      </c>
      <c r="E3" s="11">
        <v>44165</v>
      </c>
      <c r="F3" t="s">
        <v>354</v>
      </c>
      <c r="G3" t="s">
        <v>300</v>
      </c>
      <c r="I3" t="s">
        <v>355</v>
      </c>
      <c r="J3" t="s">
        <v>354</v>
      </c>
      <c r="K3" t="s">
        <v>356</v>
      </c>
      <c r="M3" t="s">
        <v>411</v>
      </c>
      <c r="N3" t="s">
        <v>468</v>
      </c>
      <c r="O3" t="s">
        <v>2</v>
      </c>
      <c r="P3" t="s">
        <v>344</v>
      </c>
      <c r="Q3" t="s">
        <v>461</v>
      </c>
      <c r="R3">
        <v>1</v>
      </c>
      <c r="S3" t="s">
        <v>304</v>
      </c>
      <c r="V3">
        <v>3</v>
      </c>
      <c r="AB3" s="1"/>
      <c r="AC3" s="1"/>
      <c r="AD3" s="1" t="s">
        <v>344</v>
      </c>
      <c r="AE3" s="1" t="s">
        <v>4</v>
      </c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D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C3"/>
  <sheetViews>
    <sheetView workbookViewId="0">
      <selection activeCell="F19" sqref="F19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52.140625" bestFit="1" customWidth="1"/>
    <col min="11" max="11" width="12.85546875" bestFit="1" customWidth="1"/>
    <col min="12" max="12" width="19.5703125" bestFit="1" customWidth="1"/>
    <col min="13" max="13" width="24" bestFit="1" customWidth="1"/>
    <col min="14" max="14" width="15.42578125" bestFit="1" customWidth="1"/>
    <col min="15" max="15" width="20" style="13" bestFit="1" customWidth="1"/>
    <col min="16" max="16" width="22.7109375" bestFit="1" customWidth="1"/>
    <col min="17" max="17" width="14.42578125" bestFit="1" customWidth="1"/>
    <col min="18" max="18" width="21.7109375" bestFit="1" customWidth="1"/>
    <col min="19" max="19" width="21.140625" bestFit="1" customWidth="1"/>
    <col min="20" max="20" width="20.5703125" bestFit="1" customWidth="1"/>
    <col min="21" max="21" width="18.42578125" bestFit="1" customWidth="1"/>
    <col min="22" max="22" width="21.85546875" bestFit="1" customWidth="1"/>
    <col min="23" max="23" width="16.7109375" bestFit="1" customWidth="1"/>
    <col min="24" max="24" width="18.5703125" bestFit="1" customWidth="1"/>
    <col min="25" max="25" width="24" bestFit="1" customWidth="1"/>
    <col min="26" max="26" width="15.7109375" bestFit="1" customWidth="1"/>
    <col min="27" max="27" width="21" bestFit="1" customWidth="1"/>
    <col min="28" max="28" width="16.57031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5" width="28.85546875" customWidth="1"/>
  </cols>
  <sheetData>
    <row r="1" spans="1:55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20</v>
      </c>
      <c r="L1" t="s">
        <v>21</v>
      </c>
      <c r="M1" t="s">
        <v>22</v>
      </c>
      <c r="N1" t="s">
        <v>463</v>
      </c>
      <c r="O1" t="s">
        <v>122</v>
      </c>
      <c r="P1" t="s">
        <v>123</v>
      </c>
      <c r="Q1" t="s">
        <v>124</v>
      </c>
      <c r="R1" s="13" t="s">
        <v>125</v>
      </c>
      <c r="S1" t="s">
        <v>140</v>
      </c>
      <c r="T1" t="s">
        <v>148</v>
      </c>
      <c r="U1" t="s">
        <v>149</v>
      </c>
      <c r="V1" t="s">
        <v>139</v>
      </c>
      <c r="W1" t="s">
        <v>132</v>
      </c>
      <c r="X1" t="s">
        <v>141</v>
      </c>
      <c r="Y1" t="s">
        <v>126</v>
      </c>
      <c r="Z1" t="s">
        <v>130</v>
      </c>
      <c r="AA1" t="s">
        <v>133</v>
      </c>
      <c r="AB1" t="s">
        <v>138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441</v>
      </c>
      <c r="AO1" t="s">
        <v>442</v>
      </c>
      <c r="AP1" t="s">
        <v>180</v>
      </c>
      <c r="AQ1" t="s">
        <v>183</v>
      </c>
      <c r="AR1" t="s">
        <v>437</v>
      </c>
      <c r="AS1" t="s">
        <v>438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353</v>
      </c>
      <c r="BB1" t="s">
        <v>457</v>
      </c>
      <c r="BC1" t="s">
        <v>155</v>
      </c>
    </row>
    <row r="2" spans="1:55" x14ac:dyDescent="0.25">
      <c r="A2" t="s">
        <v>502</v>
      </c>
      <c r="B2" t="s">
        <v>1</v>
      </c>
      <c r="C2" t="s">
        <v>460</v>
      </c>
      <c r="D2">
        <v>1</v>
      </c>
      <c r="E2" s="11">
        <v>44425</v>
      </c>
      <c r="F2" t="s">
        <v>347</v>
      </c>
      <c r="G2" t="s">
        <v>341</v>
      </c>
      <c r="H2" t="s">
        <v>348</v>
      </c>
      <c r="I2" t="s">
        <v>342</v>
      </c>
      <c r="J2" t="s">
        <v>343</v>
      </c>
      <c r="K2" t="s">
        <v>453</v>
      </c>
      <c r="L2" t="s">
        <v>1</v>
      </c>
      <c r="M2" t="s">
        <v>344</v>
      </c>
      <c r="N2" t="s">
        <v>466</v>
      </c>
      <c r="O2">
        <v>2</v>
      </c>
      <c r="P2" t="s">
        <v>318</v>
      </c>
      <c r="Q2" t="s">
        <v>446</v>
      </c>
      <c r="R2" s="13" t="s">
        <v>448</v>
      </c>
      <c r="S2" t="s">
        <v>446</v>
      </c>
      <c r="T2">
        <v>250</v>
      </c>
      <c r="U2">
        <v>7</v>
      </c>
      <c r="V2" t="s">
        <v>215</v>
      </c>
      <c r="W2" t="s">
        <v>445</v>
      </c>
      <c r="X2" t="s">
        <v>449</v>
      </c>
      <c r="Y2" t="s">
        <v>450</v>
      </c>
      <c r="Z2" t="s">
        <v>220</v>
      </c>
      <c r="AA2" t="s">
        <v>266</v>
      </c>
      <c r="AC2" s="1" t="s">
        <v>344</v>
      </c>
      <c r="AD2" s="1" t="s">
        <v>4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502</v>
      </c>
      <c r="B3" t="s">
        <v>1</v>
      </c>
      <c r="C3" t="s">
        <v>460</v>
      </c>
      <c r="D3">
        <v>1</v>
      </c>
      <c r="E3" s="11">
        <v>44425</v>
      </c>
      <c r="F3" t="s">
        <v>347</v>
      </c>
      <c r="G3" t="s">
        <v>341</v>
      </c>
      <c r="H3" t="s">
        <v>348</v>
      </c>
      <c r="I3" t="s">
        <v>342</v>
      </c>
      <c r="J3" t="s">
        <v>343</v>
      </c>
      <c r="K3" t="s">
        <v>443</v>
      </c>
      <c r="L3" t="s">
        <v>1</v>
      </c>
      <c r="M3" t="s">
        <v>3</v>
      </c>
      <c r="N3" t="s">
        <v>466</v>
      </c>
      <c r="O3">
        <v>1</v>
      </c>
      <c r="P3" t="s">
        <v>318</v>
      </c>
      <c r="Q3" t="s">
        <v>346</v>
      </c>
      <c r="R3" s="13" t="s">
        <v>345</v>
      </c>
      <c r="S3" t="s">
        <v>349</v>
      </c>
      <c r="T3">
        <v>250</v>
      </c>
      <c r="U3">
        <v>7</v>
      </c>
      <c r="V3" t="s">
        <v>233</v>
      </c>
      <c r="W3" t="s">
        <v>350</v>
      </c>
      <c r="X3" t="s">
        <v>309</v>
      </c>
      <c r="AA3" t="s">
        <v>235</v>
      </c>
      <c r="AB3" t="s">
        <v>351</v>
      </c>
      <c r="AC3" s="1" t="s">
        <v>3</v>
      </c>
      <c r="AD3" s="1" t="s">
        <v>238</v>
      </c>
      <c r="AE3" s="1"/>
      <c r="AF3" s="1" t="s">
        <v>243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 t="s">
        <v>286</v>
      </c>
      <c r="AU3" s="1" t="s">
        <v>269</v>
      </c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B10"/>
  <sheetViews>
    <sheetView topLeftCell="BM1" workbookViewId="0">
      <selection activeCell="BQ23" sqref="BQ23"/>
    </sheetView>
  </sheetViews>
  <sheetFormatPr defaultRowHeight="15" x14ac:dyDescent="0.25"/>
  <cols>
    <col min="1" max="1" width="20.28515625" bestFit="1" customWidth="1"/>
    <col min="2" max="2" width="11.5703125" bestFit="1" customWidth="1"/>
    <col min="3" max="3" width="14" bestFit="1" customWidth="1"/>
    <col min="4" max="4" width="18.5703125" bestFit="1" customWidth="1"/>
    <col min="5" max="5" width="16.7109375" bestFit="1" customWidth="1"/>
    <col min="6" max="6" width="17.7109375" bestFit="1" customWidth="1"/>
    <col min="7" max="7" width="17.140625" bestFit="1" customWidth="1"/>
    <col min="8" max="8" width="27.85546875" bestFit="1" customWidth="1"/>
    <col min="9" max="9" width="23.140625" bestFit="1" customWidth="1"/>
    <col min="10" max="10" width="13.28515625" bestFit="1" customWidth="1"/>
    <col min="11" max="11" width="25.140625" bestFit="1" customWidth="1"/>
    <col min="12" max="12" width="26.140625" bestFit="1" customWidth="1"/>
    <col min="13" max="13" width="32.85546875" bestFit="1" customWidth="1"/>
    <col min="14" max="14" width="20.5703125" bestFit="1" customWidth="1"/>
    <col min="15" max="15" width="28.140625" bestFit="1" customWidth="1"/>
    <col min="16" max="16" width="34.42578125" bestFit="1" customWidth="1"/>
    <col min="17" max="17" width="26.42578125" bestFit="1" customWidth="1"/>
    <col min="18" max="18" width="32.85546875" bestFit="1" customWidth="1"/>
    <col min="19" max="19" width="28.140625" bestFit="1" customWidth="1"/>
    <col min="20" max="20" width="24" bestFit="1" customWidth="1"/>
    <col min="21" max="21" width="29.140625" bestFit="1" customWidth="1"/>
    <col min="22" max="22" width="21.140625" bestFit="1" customWidth="1"/>
    <col min="23" max="23" width="30.5703125" bestFit="1" customWidth="1"/>
    <col min="24" max="24" width="17.85546875" bestFit="1" customWidth="1"/>
    <col min="25" max="33" width="21.7109375" bestFit="1" customWidth="1"/>
    <col min="34" max="34" width="22.7109375" bestFit="1" customWidth="1"/>
    <col min="35" max="35" width="12.85546875" bestFit="1" customWidth="1"/>
    <col min="36" max="36" width="19.5703125" bestFit="1" customWidth="1"/>
    <col min="37" max="37" width="24" bestFit="1" customWidth="1"/>
    <col min="38" max="38" width="17.28515625" bestFit="1" customWidth="1"/>
    <col min="39" max="39" width="15.5703125" bestFit="1" customWidth="1"/>
    <col min="40" max="40" width="15.42578125" bestFit="1" customWidth="1"/>
    <col min="41" max="41" width="20" bestFit="1" customWidth="1"/>
    <col min="42" max="42" width="22.7109375" bestFit="1" customWidth="1"/>
    <col min="43" max="43" width="14.42578125" bestFit="1" customWidth="1"/>
    <col min="44" max="44" width="21.7109375" bestFit="1" customWidth="1"/>
    <col min="45" max="45" width="24" bestFit="1" customWidth="1"/>
    <col min="46" max="46" width="16.28515625" bestFit="1" customWidth="1"/>
    <col min="47" max="47" width="22.28515625" bestFit="1" customWidth="1"/>
    <col min="48" max="48" width="21.5703125" bestFit="1" customWidth="1"/>
    <col min="49" max="49" width="15.7109375" bestFit="1" customWidth="1"/>
    <col min="50" max="50" width="40.42578125" bestFit="1" customWidth="1"/>
    <col min="51" max="51" width="16.7109375" bestFit="1" customWidth="1"/>
    <col min="52" max="52" width="21" bestFit="1" customWidth="1"/>
    <col min="53" max="53" width="22.28515625" bestFit="1" customWidth="1"/>
    <col min="54" max="54" width="24" bestFit="1" customWidth="1"/>
    <col min="55" max="55" width="25.7109375" bestFit="1" customWidth="1"/>
    <col min="56" max="56" width="27.28515625" bestFit="1" customWidth="1"/>
    <col min="57" max="57" width="16.5703125" bestFit="1" customWidth="1"/>
    <col min="58" max="58" width="21.85546875" bestFit="1" customWidth="1"/>
    <col min="59" max="59" width="21.140625" bestFit="1" customWidth="1"/>
    <col min="60" max="60" width="18.5703125" bestFit="1" customWidth="1"/>
    <col min="61" max="61" width="37.5703125" bestFit="1" customWidth="1"/>
    <col min="62" max="62" width="27.28515625" bestFit="1" customWidth="1"/>
    <col min="63" max="63" width="40.7109375" bestFit="1" customWidth="1"/>
    <col min="64" max="64" width="36.140625" bestFit="1" customWidth="1"/>
    <col min="65" max="65" width="28.7109375" bestFit="1" customWidth="1"/>
    <col min="66" max="66" width="19.28515625" bestFit="1" customWidth="1"/>
    <col min="67" max="67" width="26.42578125" bestFit="1" customWidth="1"/>
    <col min="68" max="69" width="24.85546875" bestFit="1" customWidth="1"/>
    <col min="70" max="70" width="24.85546875" style="6" bestFit="1" customWidth="1"/>
    <col min="71" max="71" width="29.28515625" style="6" bestFit="1" customWidth="1"/>
    <col min="72" max="72" width="19.85546875" bestFit="1" customWidth="1"/>
    <col min="73" max="73" width="21.85546875" bestFit="1" customWidth="1"/>
    <col min="74" max="74" width="20.85546875" bestFit="1" customWidth="1"/>
    <col min="75" max="75" width="26.140625" bestFit="1" customWidth="1"/>
    <col min="76" max="76" width="21.140625" style="4" bestFit="1" customWidth="1"/>
    <col min="77" max="77" width="28.28515625" bestFit="1" customWidth="1"/>
    <col min="78" max="78" width="30.28515625" bestFit="1" customWidth="1"/>
    <col min="79" max="79" width="24.5703125" bestFit="1" customWidth="1"/>
    <col min="80" max="80" width="27.85546875" bestFit="1" customWidth="1"/>
    <col min="81" max="81" width="31.5703125" bestFit="1" customWidth="1"/>
    <col min="82" max="82" width="43.85546875" bestFit="1" customWidth="1"/>
    <col min="83" max="83" width="32.5703125" bestFit="1" customWidth="1"/>
    <col min="84" max="84" width="30" bestFit="1" customWidth="1"/>
    <col min="85" max="85" width="29.5703125" bestFit="1" customWidth="1"/>
    <col min="86" max="86" width="29.42578125" bestFit="1" customWidth="1"/>
    <col min="87" max="87" width="30.28515625" bestFit="1" customWidth="1"/>
    <col min="88" max="88" width="29.5703125" bestFit="1" customWidth="1"/>
    <col min="89" max="89" width="34.28515625" bestFit="1" customWidth="1"/>
    <col min="90" max="90" width="40.42578125" bestFit="1" customWidth="1"/>
    <col min="91" max="92" width="39.5703125" bestFit="1" customWidth="1"/>
    <col min="93" max="93" width="32.7109375" bestFit="1" customWidth="1"/>
    <col min="94" max="94" width="48.28515625" bestFit="1" customWidth="1"/>
    <col min="95" max="95" width="31.28515625" bestFit="1" customWidth="1"/>
    <col min="96" max="96" width="30.85546875" bestFit="1" customWidth="1"/>
    <col min="97" max="97" width="34.5703125" bestFit="1" customWidth="1"/>
    <col min="98" max="98" width="34.28515625" bestFit="1" customWidth="1"/>
    <col min="99" max="99" width="55.7109375" bestFit="1" customWidth="1"/>
    <col min="100" max="100" width="36.5703125" bestFit="1" customWidth="1"/>
    <col min="101" max="101" width="30.7109375" bestFit="1" customWidth="1"/>
    <col min="102" max="102" width="46.28515625" bestFit="1" customWidth="1"/>
    <col min="103" max="103" width="30.7109375" bestFit="1" customWidth="1"/>
    <col min="104" max="104" width="31.140625" bestFit="1" customWidth="1"/>
    <col min="105" max="105" width="43.42578125" bestFit="1" customWidth="1"/>
    <col min="106" max="107" width="28.85546875" customWidth="1"/>
  </cols>
  <sheetData>
    <row r="1" spans="1:106" x14ac:dyDescent="0.25">
      <c r="A1" t="s">
        <v>492</v>
      </c>
      <c r="B1" t="s">
        <v>13</v>
      </c>
      <c r="C1" t="s">
        <v>462</v>
      </c>
      <c r="D1" t="s">
        <v>14</v>
      </c>
      <c r="E1" t="s">
        <v>15</v>
      </c>
      <c r="F1" t="s">
        <v>16</v>
      </c>
      <c r="G1" t="s">
        <v>17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  <c r="W1" t="s">
        <v>67</v>
      </c>
      <c r="X1" t="s">
        <v>68</v>
      </c>
      <c r="Y1" t="s">
        <v>329</v>
      </c>
      <c r="Z1" t="s">
        <v>330</v>
      </c>
      <c r="AA1" t="s">
        <v>331</v>
      </c>
      <c r="AB1" t="s">
        <v>332</v>
      </c>
      <c r="AC1" t="s">
        <v>333</v>
      </c>
      <c r="AD1" t="s">
        <v>334</v>
      </c>
      <c r="AE1" t="s">
        <v>335</v>
      </c>
      <c r="AF1" t="s">
        <v>336</v>
      </c>
      <c r="AG1" t="s">
        <v>337</v>
      </c>
      <c r="AH1" t="s">
        <v>338</v>
      </c>
      <c r="AI1" t="s">
        <v>20</v>
      </c>
      <c r="AJ1" t="s">
        <v>21</v>
      </c>
      <c r="AK1" t="s">
        <v>22</v>
      </c>
      <c r="AL1" t="s">
        <v>25</v>
      </c>
      <c r="AM1" t="s">
        <v>458</v>
      </c>
      <c r="AN1" t="s">
        <v>463</v>
      </c>
      <c r="AO1" t="s">
        <v>122</v>
      </c>
      <c r="AP1" t="s">
        <v>123</v>
      </c>
      <c r="AQ1" t="s">
        <v>124</v>
      </c>
      <c r="AR1" t="s">
        <v>125</v>
      </c>
      <c r="AS1" t="s">
        <v>126</v>
      </c>
      <c r="AT1" t="s">
        <v>127</v>
      </c>
      <c r="AU1" t="s">
        <v>128</v>
      </c>
      <c r="AV1" t="s">
        <v>129</v>
      </c>
      <c r="AW1" t="s">
        <v>130</v>
      </c>
      <c r="AX1" t="s">
        <v>131</v>
      </c>
      <c r="AY1" t="s">
        <v>132</v>
      </c>
      <c r="AZ1" t="s">
        <v>133</v>
      </c>
      <c r="BA1" t="s">
        <v>134</v>
      </c>
      <c r="BB1" t="s">
        <v>135</v>
      </c>
      <c r="BC1" t="s">
        <v>136</v>
      </c>
      <c r="BD1" t="s">
        <v>137</v>
      </c>
      <c r="BE1" t="s">
        <v>138</v>
      </c>
      <c r="BF1" t="s">
        <v>139</v>
      </c>
      <c r="BG1" t="s">
        <v>140</v>
      </c>
      <c r="BH1" t="s">
        <v>141</v>
      </c>
      <c r="BI1" t="s">
        <v>142</v>
      </c>
      <c r="BJ1" t="s">
        <v>143</v>
      </c>
      <c r="BK1" t="s">
        <v>144</v>
      </c>
      <c r="BL1" t="s">
        <v>145</v>
      </c>
      <c r="BM1" t="s">
        <v>146</v>
      </c>
      <c r="BN1" t="s">
        <v>27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311</v>
      </c>
      <c r="BU1" s="6" t="s">
        <v>312</v>
      </c>
      <c r="BV1" s="6" t="s">
        <v>313</v>
      </c>
      <c r="BW1" t="s">
        <v>314</v>
      </c>
      <c r="BX1" t="s">
        <v>28</v>
      </c>
      <c r="BY1" t="s">
        <v>170</v>
      </c>
      <c r="BZ1" t="s">
        <v>171</v>
      </c>
      <c r="CA1" s="4" t="s">
        <v>172</v>
      </c>
      <c r="CB1" t="s">
        <v>26</v>
      </c>
      <c r="CC1" t="s">
        <v>153</v>
      </c>
      <c r="CD1" t="s">
        <v>154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340</v>
      </c>
      <c r="CL1" t="s">
        <v>179</v>
      </c>
      <c r="CM1" t="s">
        <v>441</v>
      </c>
      <c r="CN1" t="s">
        <v>442</v>
      </c>
      <c r="CO1" t="s">
        <v>180</v>
      </c>
      <c r="CP1" t="s">
        <v>183</v>
      </c>
      <c r="CQ1" t="s">
        <v>437</v>
      </c>
      <c r="CR1" t="s">
        <v>438</v>
      </c>
      <c r="CS1" t="s">
        <v>156</v>
      </c>
      <c r="CT1" t="s">
        <v>157</v>
      </c>
      <c r="CU1" t="s">
        <v>339</v>
      </c>
      <c r="CV1" t="s">
        <v>158</v>
      </c>
      <c r="CW1" t="s">
        <v>159</v>
      </c>
      <c r="CX1" t="s">
        <v>160</v>
      </c>
      <c r="CY1" t="s">
        <v>161</v>
      </c>
      <c r="CZ1" t="s">
        <v>353</v>
      </c>
      <c r="DA1" t="s">
        <v>457</v>
      </c>
      <c r="DB1" t="s">
        <v>155</v>
      </c>
    </row>
    <row r="2" spans="1:106" x14ac:dyDescent="0.25">
      <c r="A2" t="s">
        <v>495</v>
      </c>
      <c r="B2" t="s">
        <v>0</v>
      </c>
      <c r="C2" t="s">
        <v>465</v>
      </c>
      <c r="D2">
        <v>1</v>
      </c>
      <c r="E2" s="28"/>
      <c r="AI2" t="s">
        <v>501</v>
      </c>
      <c r="AJ2" t="s">
        <v>0</v>
      </c>
      <c r="AN2" t="s">
        <v>461</v>
      </c>
      <c r="AO2">
        <v>3</v>
      </c>
      <c r="AP2" t="s">
        <v>232</v>
      </c>
      <c r="AQ2" t="s">
        <v>520</v>
      </c>
      <c r="AT2">
        <v>80</v>
      </c>
      <c r="BG2" t="s">
        <v>520</v>
      </c>
      <c r="BR2"/>
      <c r="BS2" s="1"/>
      <c r="BU2" s="6"/>
      <c r="BV2" s="6"/>
      <c r="BX2"/>
      <c r="CA2" s="4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B2" s="1"/>
    </row>
    <row r="3" spans="1:106" x14ac:dyDescent="0.25">
      <c r="A3" t="s">
        <v>495</v>
      </c>
      <c r="B3" t="s">
        <v>0</v>
      </c>
      <c r="C3" t="s">
        <v>465</v>
      </c>
      <c r="D3">
        <v>1</v>
      </c>
      <c r="E3" s="28"/>
      <c r="AI3" t="s">
        <v>455</v>
      </c>
      <c r="AJ3" t="s">
        <v>0</v>
      </c>
      <c r="AK3" t="s">
        <v>3</v>
      </c>
      <c r="AL3" t="s">
        <v>471</v>
      </c>
      <c r="AM3" t="s">
        <v>470</v>
      </c>
      <c r="AN3" t="s">
        <v>461</v>
      </c>
      <c r="AO3">
        <v>2</v>
      </c>
      <c r="AP3" t="s">
        <v>190</v>
      </c>
      <c r="AQ3" t="s">
        <v>189</v>
      </c>
      <c r="AT3">
        <v>3</v>
      </c>
      <c r="BG3" t="s">
        <v>308</v>
      </c>
      <c r="BN3" t="s">
        <v>470</v>
      </c>
      <c r="BO3">
        <v>3</v>
      </c>
      <c r="BP3">
        <v>1</v>
      </c>
      <c r="BQ3">
        <v>3214</v>
      </c>
      <c r="BR3">
        <v>123</v>
      </c>
      <c r="BS3" s="1">
        <v>1112.67</v>
      </c>
      <c r="BT3">
        <v>0</v>
      </c>
      <c r="BU3" s="6">
        <v>0</v>
      </c>
      <c r="BV3" s="6" t="s">
        <v>496</v>
      </c>
      <c r="BX3" t="s">
        <v>471</v>
      </c>
      <c r="BY3">
        <v>3</v>
      </c>
      <c r="BZ3" t="s">
        <v>315</v>
      </c>
      <c r="CA3" s="4">
        <v>23</v>
      </c>
      <c r="CB3" s="1" t="s">
        <v>3</v>
      </c>
      <c r="CC3" s="1" t="s">
        <v>238</v>
      </c>
      <c r="CD3" s="1"/>
      <c r="CE3" s="1" t="s">
        <v>243</v>
      </c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 t="s">
        <v>286</v>
      </c>
      <c r="CT3" s="1" t="s">
        <v>269</v>
      </c>
      <c r="CU3" s="1"/>
      <c r="CV3" s="1"/>
      <c r="CW3" s="1"/>
      <c r="CX3" s="1"/>
      <c r="CY3" s="1"/>
      <c r="CZ3" s="1"/>
      <c r="DB3" s="1"/>
    </row>
    <row r="4" spans="1:106" x14ac:dyDescent="0.25">
      <c r="A4" t="s">
        <v>495</v>
      </c>
      <c r="B4" t="s">
        <v>0</v>
      </c>
      <c r="C4" t="s">
        <v>465</v>
      </c>
      <c r="D4">
        <v>1</v>
      </c>
      <c r="E4" s="28"/>
      <c r="AI4" t="s">
        <v>444</v>
      </c>
      <c r="AJ4" t="s">
        <v>0</v>
      </c>
      <c r="AK4" t="s">
        <v>3</v>
      </c>
      <c r="AM4" t="s">
        <v>470</v>
      </c>
      <c r="AN4" t="s">
        <v>461</v>
      </c>
      <c r="AO4">
        <v>1</v>
      </c>
      <c r="AP4" t="s">
        <v>190</v>
      </c>
      <c r="AQ4" t="s">
        <v>189</v>
      </c>
      <c r="AR4" t="s">
        <v>316</v>
      </c>
      <c r="AT4">
        <v>17</v>
      </c>
      <c r="AW4" t="s">
        <v>220</v>
      </c>
      <c r="AX4" t="s">
        <v>216</v>
      </c>
      <c r="AY4" t="s">
        <v>451</v>
      </c>
      <c r="AZ4" t="s">
        <v>217</v>
      </c>
      <c r="BA4" t="s">
        <v>218</v>
      </c>
      <c r="BB4" t="s">
        <v>219</v>
      </c>
      <c r="BC4">
        <v>1</v>
      </c>
      <c r="BD4">
        <v>1</v>
      </c>
      <c r="BG4" t="s">
        <v>308</v>
      </c>
      <c r="BH4" t="s">
        <v>405</v>
      </c>
      <c r="BI4">
        <v>1</v>
      </c>
      <c r="BJ4" t="s">
        <v>452</v>
      </c>
      <c r="BK4" t="s">
        <v>452</v>
      </c>
      <c r="BL4" t="s">
        <v>220</v>
      </c>
      <c r="BM4" t="s">
        <v>452</v>
      </c>
      <c r="BN4" t="s">
        <v>470</v>
      </c>
      <c r="BO4">
        <v>3</v>
      </c>
      <c r="BP4">
        <v>1</v>
      </c>
      <c r="BQ4">
        <v>3214</v>
      </c>
      <c r="BR4">
        <v>123</v>
      </c>
      <c r="BS4" s="1">
        <v>1112.67</v>
      </c>
      <c r="BT4">
        <v>0</v>
      </c>
      <c r="BU4" s="6">
        <v>0</v>
      </c>
      <c r="BV4" s="6" t="s">
        <v>496</v>
      </c>
      <c r="BX4"/>
      <c r="CA4" s="4"/>
      <c r="CB4" s="1" t="s">
        <v>3</v>
      </c>
      <c r="CC4" s="1" t="s">
        <v>238</v>
      </c>
      <c r="CD4" s="1"/>
      <c r="CE4" s="1" t="s">
        <v>243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 t="s">
        <v>286</v>
      </c>
      <c r="CT4" s="1" t="s">
        <v>269</v>
      </c>
      <c r="CU4" s="1"/>
      <c r="CV4" s="1"/>
      <c r="CW4" s="1"/>
      <c r="CX4" s="1"/>
      <c r="CY4" s="1"/>
      <c r="CZ4" s="1"/>
      <c r="DB4" s="1"/>
    </row>
    <row r="5" spans="1:106" x14ac:dyDescent="0.25">
      <c r="A5" t="s">
        <v>497</v>
      </c>
      <c r="B5" t="s">
        <v>472</v>
      </c>
      <c r="C5" t="s">
        <v>465</v>
      </c>
      <c r="D5">
        <v>2</v>
      </c>
      <c r="E5" s="28"/>
      <c r="M5" t="s">
        <v>227</v>
      </c>
      <c r="AI5" t="s">
        <v>521</v>
      </c>
      <c r="AJ5" t="s">
        <v>472</v>
      </c>
      <c r="AK5" t="s">
        <v>478</v>
      </c>
      <c r="AN5" t="s">
        <v>461</v>
      </c>
      <c r="AO5">
        <v>1</v>
      </c>
      <c r="AP5" t="s">
        <v>250</v>
      </c>
      <c r="AQ5" t="s">
        <v>506</v>
      </c>
      <c r="AT5">
        <v>13</v>
      </c>
      <c r="BG5" t="s">
        <v>508</v>
      </c>
      <c r="BR5"/>
      <c r="BS5" s="1"/>
      <c r="BU5" s="6"/>
      <c r="BV5" s="6"/>
      <c r="BX5"/>
      <c r="CA5" s="4"/>
      <c r="CB5" s="1" t="s">
        <v>478</v>
      </c>
      <c r="CC5" s="1" t="s">
        <v>238</v>
      </c>
      <c r="CD5" s="1"/>
      <c r="CE5" s="1" t="s">
        <v>243</v>
      </c>
      <c r="CF5" s="1"/>
      <c r="CG5" s="1"/>
      <c r="CH5" s="1" t="s">
        <v>454</v>
      </c>
      <c r="CI5" s="1" t="s">
        <v>454</v>
      </c>
      <c r="CJ5" s="1" t="s">
        <v>454</v>
      </c>
      <c r="CK5" s="1" t="s">
        <v>454</v>
      </c>
      <c r="CL5" s="1" t="s">
        <v>454</v>
      </c>
      <c r="CM5" s="1" t="s">
        <v>454</v>
      </c>
      <c r="CN5" s="1" t="s">
        <v>454</v>
      </c>
      <c r="CO5" s="1" t="s">
        <v>454</v>
      </c>
      <c r="CP5" s="1" t="s">
        <v>405</v>
      </c>
      <c r="CQ5" s="1" t="s">
        <v>454</v>
      </c>
      <c r="CR5" s="1" t="s">
        <v>454</v>
      </c>
      <c r="CS5" s="1" t="s">
        <v>221</v>
      </c>
      <c r="CT5" s="1" t="s">
        <v>221</v>
      </c>
      <c r="CU5" s="1" t="s">
        <v>240</v>
      </c>
      <c r="CV5" s="1" t="s">
        <v>270</v>
      </c>
      <c r="CW5" s="1" t="s">
        <v>223</v>
      </c>
      <c r="CX5" s="1" t="s">
        <v>242</v>
      </c>
      <c r="CY5" s="1" t="s">
        <v>5</v>
      </c>
      <c r="CZ5" s="1" t="s">
        <v>454</v>
      </c>
      <c r="DB5" s="1" t="s">
        <v>240</v>
      </c>
    </row>
    <row r="6" spans="1:106" x14ac:dyDescent="0.25">
      <c r="A6" t="s">
        <v>498</v>
      </c>
      <c r="B6" t="s">
        <v>473</v>
      </c>
      <c r="C6" t="s">
        <v>465</v>
      </c>
      <c r="D6">
        <v>3</v>
      </c>
      <c r="E6" s="28">
        <v>44208</v>
      </c>
      <c r="K6" t="s">
        <v>244</v>
      </c>
      <c r="L6" t="s">
        <v>228</v>
      </c>
      <c r="N6" t="s">
        <v>260</v>
      </c>
      <c r="O6">
        <v>3.2</v>
      </c>
      <c r="Q6" t="s">
        <v>231</v>
      </c>
      <c r="R6" t="s">
        <v>231</v>
      </c>
      <c r="S6" t="s">
        <v>273</v>
      </c>
      <c r="BR6"/>
      <c r="BS6" s="1"/>
      <c r="BU6" s="6"/>
      <c r="BV6" s="6"/>
      <c r="BX6"/>
      <c r="CA6" s="4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B6" s="1"/>
    </row>
    <row r="7" spans="1:106" x14ac:dyDescent="0.25">
      <c r="A7" t="s">
        <v>499</v>
      </c>
      <c r="B7" t="s">
        <v>475</v>
      </c>
      <c r="C7" t="s">
        <v>465</v>
      </c>
      <c r="D7">
        <v>4</v>
      </c>
      <c r="E7" s="28">
        <v>40922</v>
      </c>
      <c r="BR7"/>
      <c r="BS7" s="1"/>
      <c r="BU7" s="6"/>
      <c r="BV7" s="6"/>
      <c r="BX7"/>
      <c r="CA7" s="4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B7" s="1"/>
    </row>
    <row r="8" spans="1:106" x14ac:dyDescent="0.25">
      <c r="A8" t="s">
        <v>505</v>
      </c>
      <c r="B8" t="s">
        <v>504</v>
      </c>
      <c r="C8" t="s">
        <v>465</v>
      </c>
      <c r="D8">
        <v>5</v>
      </c>
      <c r="E8" s="28"/>
      <c r="BR8"/>
      <c r="BS8" s="1"/>
      <c r="BU8" s="6"/>
      <c r="BV8" s="6"/>
      <c r="BX8"/>
      <c r="CA8" s="4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B8" s="1"/>
    </row>
    <row r="9" spans="1:106" x14ac:dyDescent="0.25">
      <c r="A9" t="s">
        <v>500</v>
      </c>
      <c r="B9" t="s">
        <v>477</v>
      </c>
      <c r="C9" t="s">
        <v>465</v>
      </c>
      <c r="D9">
        <v>6</v>
      </c>
      <c r="E9" s="28"/>
      <c r="AI9" t="s">
        <v>507</v>
      </c>
      <c r="AJ9" t="s">
        <v>477</v>
      </c>
      <c r="AK9" t="s">
        <v>478</v>
      </c>
      <c r="AL9" t="s">
        <v>469</v>
      </c>
      <c r="AM9" t="s">
        <v>479</v>
      </c>
      <c r="AN9" t="s">
        <v>461</v>
      </c>
      <c r="AO9">
        <v>1</v>
      </c>
      <c r="AP9" t="s">
        <v>263</v>
      </c>
      <c r="AQ9" t="s">
        <v>480</v>
      </c>
      <c r="AT9">
        <v>2</v>
      </c>
      <c r="BG9" t="s">
        <v>480</v>
      </c>
      <c r="BN9" t="s">
        <v>479</v>
      </c>
      <c r="BO9">
        <v>1</v>
      </c>
      <c r="BP9">
        <v>1</v>
      </c>
      <c r="BQ9">
        <v>1</v>
      </c>
      <c r="BR9">
        <v>1</v>
      </c>
      <c r="BS9" s="1">
        <v>1</v>
      </c>
      <c r="BT9">
        <v>22.5</v>
      </c>
      <c r="BU9" s="6">
        <v>19</v>
      </c>
      <c r="BV9" s="6" t="s">
        <v>496</v>
      </c>
      <c r="BW9">
        <v>120</v>
      </c>
      <c r="BX9" t="s">
        <v>469</v>
      </c>
      <c r="BY9">
        <v>2</v>
      </c>
      <c r="BZ9" t="s">
        <v>315</v>
      </c>
      <c r="CA9" s="4">
        <v>1</v>
      </c>
      <c r="CB9" s="1" t="s">
        <v>478</v>
      </c>
      <c r="CC9" s="1" t="s">
        <v>238</v>
      </c>
      <c r="CD9" s="1"/>
      <c r="CE9" s="1" t="s">
        <v>243</v>
      </c>
      <c r="CF9" s="1"/>
      <c r="CG9" s="1"/>
      <c r="CH9" s="1" t="s">
        <v>454</v>
      </c>
      <c r="CI9" s="1" t="s">
        <v>454</v>
      </c>
      <c r="CJ9" s="1" t="s">
        <v>454</v>
      </c>
      <c r="CK9" s="1" t="s">
        <v>454</v>
      </c>
      <c r="CL9" s="1" t="s">
        <v>454</v>
      </c>
      <c r="CM9" s="1" t="s">
        <v>454</v>
      </c>
      <c r="CN9" s="1" t="s">
        <v>454</v>
      </c>
      <c r="CO9" s="1" t="s">
        <v>454</v>
      </c>
      <c r="CP9" s="1" t="s">
        <v>405</v>
      </c>
      <c r="CQ9" s="1" t="s">
        <v>454</v>
      </c>
      <c r="CR9" s="1" t="s">
        <v>454</v>
      </c>
      <c r="CS9" s="1" t="s">
        <v>221</v>
      </c>
      <c r="CT9" s="1" t="s">
        <v>221</v>
      </c>
      <c r="CU9" s="1" t="s">
        <v>240</v>
      </c>
      <c r="CV9" s="1" t="s">
        <v>270</v>
      </c>
      <c r="CW9" s="1" t="s">
        <v>223</v>
      </c>
      <c r="CX9" s="1" t="s">
        <v>242</v>
      </c>
      <c r="CY9" s="1" t="s">
        <v>5</v>
      </c>
      <c r="CZ9" s="1" t="s">
        <v>454</v>
      </c>
      <c r="DB9" s="1" t="s">
        <v>240</v>
      </c>
    </row>
    <row r="10" spans="1:106" x14ac:dyDescent="0.25">
      <c r="A10" t="s">
        <v>515</v>
      </c>
      <c r="B10" t="s">
        <v>513</v>
      </c>
      <c r="C10" t="s">
        <v>465</v>
      </c>
      <c r="D10">
        <v>7</v>
      </c>
      <c r="E10" s="28">
        <v>33635</v>
      </c>
      <c r="BR10"/>
      <c r="BS10" s="1"/>
      <c r="BU10" s="6"/>
      <c r="BV10" s="6"/>
      <c r="BX10"/>
      <c r="CA10" s="4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B1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890C-9873-492C-8C03-7054812DE8AA}">
  <sheetPr codeName="Sheet5"/>
  <dimension ref="A1:J68"/>
  <sheetViews>
    <sheetView topLeftCell="A16" workbookViewId="0">
      <selection activeCell="J10" sqref="J10"/>
    </sheetView>
  </sheetViews>
  <sheetFormatPr defaultRowHeight="15" x14ac:dyDescent="0.25"/>
  <cols>
    <col min="1" max="1" width="20.42578125" bestFit="1" customWidth="1"/>
    <col min="2" max="2" width="20.7109375" bestFit="1" customWidth="1"/>
    <col min="5" max="5" width="16.5703125" bestFit="1" customWidth="1"/>
    <col min="6" max="6" width="20.7109375" bestFit="1" customWidth="1"/>
    <col min="9" max="9" width="13.7109375" bestFit="1" customWidth="1"/>
    <col min="10" max="10" width="25" bestFit="1" customWidth="1"/>
  </cols>
  <sheetData>
    <row r="1" spans="1:10" x14ac:dyDescent="0.25">
      <c r="A1" s="58" t="s">
        <v>512</v>
      </c>
      <c r="B1" s="58"/>
      <c r="C1" s="58"/>
      <c r="D1" s="58"/>
      <c r="E1" s="58"/>
      <c r="F1" s="58"/>
      <c r="G1" s="58"/>
    </row>
    <row r="2" spans="1:10" x14ac:dyDescent="0.25">
      <c r="A2" s="58"/>
      <c r="B2" s="58"/>
      <c r="C2" s="58"/>
      <c r="D2" s="58"/>
      <c r="E2" s="58"/>
      <c r="F2" s="58"/>
      <c r="G2" s="58"/>
    </row>
    <row r="3" spans="1:10" x14ac:dyDescent="0.25">
      <c r="A3" s="58"/>
      <c r="B3" s="58"/>
      <c r="C3" s="58"/>
      <c r="D3" s="58"/>
      <c r="E3" s="58"/>
      <c r="F3" s="58"/>
      <c r="G3" s="58"/>
    </row>
    <row r="4" spans="1:10" x14ac:dyDescent="0.25">
      <c r="A4" s="58"/>
      <c r="B4" s="58"/>
      <c r="C4" s="58"/>
      <c r="D4" s="58"/>
      <c r="E4" s="58"/>
      <c r="F4" s="58"/>
      <c r="G4" s="58"/>
    </row>
    <row r="8" spans="1:10" x14ac:dyDescent="0.25">
      <c r="A8" s="52" t="s">
        <v>509</v>
      </c>
      <c r="B8" t="s">
        <v>503</v>
      </c>
      <c r="E8" s="52" t="s">
        <v>509</v>
      </c>
      <c r="F8" t="s">
        <v>503</v>
      </c>
      <c r="I8" s="52" t="s">
        <v>509</v>
      </c>
      <c r="J8" t="s">
        <v>511</v>
      </c>
    </row>
    <row r="9" spans="1:10" x14ac:dyDescent="0.25">
      <c r="A9" s="53">
        <v>1</v>
      </c>
      <c r="B9" s="1">
        <v>100</v>
      </c>
      <c r="E9" s="53">
        <v>0</v>
      </c>
      <c r="F9" s="1">
        <v>2</v>
      </c>
      <c r="I9" s="53">
        <v>1</v>
      </c>
      <c r="J9" s="1">
        <v>500</v>
      </c>
    </row>
    <row r="10" spans="1:10" x14ac:dyDescent="0.25">
      <c r="A10" s="54" t="s">
        <v>0</v>
      </c>
      <c r="B10" s="1">
        <v>100</v>
      </c>
      <c r="E10" s="54" t="s">
        <v>447</v>
      </c>
      <c r="F10" s="1">
        <v>2</v>
      </c>
      <c r="I10" s="54" t="s">
        <v>1</v>
      </c>
      <c r="J10" s="1">
        <v>500</v>
      </c>
    </row>
    <row r="11" spans="1:10" x14ac:dyDescent="0.25">
      <c r="A11" s="55">
        <v>1</v>
      </c>
      <c r="B11" s="1">
        <v>17</v>
      </c>
      <c r="E11" s="55">
        <v>1</v>
      </c>
      <c r="F11" s="1">
        <v>2</v>
      </c>
      <c r="I11" s="55">
        <v>1</v>
      </c>
      <c r="J11" s="1">
        <v>250</v>
      </c>
    </row>
    <row r="12" spans="1:10" x14ac:dyDescent="0.25">
      <c r="A12" s="56" t="s">
        <v>190</v>
      </c>
      <c r="B12" s="1">
        <v>17</v>
      </c>
      <c r="E12" s="56" t="s">
        <v>491</v>
      </c>
      <c r="F12" s="1">
        <v>2</v>
      </c>
      <c r="I12" s="56" t="s">
        <v>346</v>
      </c>
      <c r="J12" s="1">
        <v>250</v>
      </c>
    </row>
    <row r="13" spans="1:10" x14ac:dyDescent="0.25">
      <c r="A13" s="57" t="s">
        <v>3</v>
      </c>
      <c r="B13" s="1">
        <v>17</v>
      </c>
      <c r="E13" s="57" t="s">
        <v>491</v>
      </c>
      <c r="F13" s="1">
        <v>2</v>
      </c>
      <c r="I13" s="57" t="s">
        <v>3</v>
      </c>
      <c r="J13" s="1">
        <v>250</v>
      </c>
    </row>
    <row r="14" spans="1:10" x14ac:dyDescent="0.25">
      <c r="A14" s="59" t="s">
        <v>470</v>
      </c>
      <c r="B14" s="1">
        <v>17</v>
      </c>
      <c r="E14" s="53">
        <v>1</v>
      </c>
      <c r="F14" s="1">
        <v>3</v>
      </c>
      <c r="I14" s="55">
        <v>2</v>
      </c>
      <c r="J14" s="1">
        <v>250</v>
      </c>
    </row>
    <row r="15" spans="1:10" x14ac:dyDescent="0.25">
      <c r="A15" s="60" t="s">
        <v>491</v>
      </c>
      <c r="B15" s="1">
        <v>17</v>
      </c>
      <c r="E15" s="54" t="s">
        <v>2</v>
      </c>
      <c r="F15" s="1">
        <v>3</v>
      </c>
      <c r="I15" s="56" t="s">
        <v>446</v>
      </c>
      <c r="J15" s="1">
        <v>250</v>
      </c>
    </row>
    <row r="16" spans="1:10" x14ac:dyDescent="0.25">
      <c r="A16" s="55">
        <v>2</v>
      </c>
      <c r="B16" s="1">
        <v>3</v>
      </c>
      <c r="E16" s="55">
        <v>1</v>
      </c>
      <c r="F16" s="1">
        <v>3</v>
      </c>
      <c r="I16" s="57" t="s">
        <v>344</v>
      </c>
      <c r="J16" s="1">
        <v>250</v>
      </c>
    </row>
    <row r="17" spans="1:10" x14ac:dyDescent="0.25">
      <c r="A17" s="56" t="s">
        <v>190</v>
      </c>
      <c r="B17" s="1">
        <v>3</v>
      </c>
      <c r="E17" s="56" t="s">
        <v>491</v>
      </c>
      <c r="F17" s="1">
        <v>3</v>
      </c>
      <c r="I17" s="53" t="s">
        <v>510</v>
      </c>
      <c r="J17" s="1">
        <v>500</v>
      </c>
    </row>
    <row r="18" spans="1:10" x14ac:dyDescent="0.25">
      <c r="A18" s="57" t="s">
        <v>3</v>
      </c>
      <c r="B18" s="1">
        <v>3</v>
      </c>
      <c r="E18" s="57" t="s">
        <v>344</v>
      </c>
      <c r="F18" s="1">
        <v>3</v>
      </c>
    </row>
    <row r="19" spans="1:10" x14ac:dyDescent="0.25">
      <c r="A19" s="59" t="s">
        <v>470</v>
      </c>
      <c r="B19" s="1">
        <v>3</v>
      </c>
      <c r="E19" s="53" t="s">
        <v>510</v>
      </c>
      <c r="F19" s="1">
        <v>5</v>
      </c>
    </row>
    <row r="20" spans="1:10" x14ac:dyDescent="0.25">
      <c r="A20" s="60" t="s">
        <v>471</v>
      </c>
      <c r="B20" s="1">
        <v>3</v>
      </c>
    </row>
    <row r="21" spans="1:10" x14ac:dyDescent="0.25">
      <c r="A21" s="55">
        <v>3</v>
      </c>
      <c r="B21" s="1">
        <v>80</v>
      </c>
    </row>
    <row r="22" spans="1:10" x14ac:dyDescent="0.25">
      <c r="A22" s="56" t="s">
        <v>232</v>
      </c>
      <c r="B22" s="1">
        <v>80</v>
      </c>
    </row>
    <row r="23" spans="1:10" x14ac:dyDescent="0.25">
      <c r="A23" s="57" t="s">
        <v>491</v>
      </c>
      <c r="B23" s="1">
        <v>80</v>
      </c>
    </row>
    <row r="24" spans="1:10" x14ac:dyDescent="0.25">
      <c r="A24" s="59" t="s">
        <v>491</v>
      </c>
      <c r="B24" s="1">
        <v>80</v>
      </c>
    </row>
    <row r="25" spans="1:10" x14ac:dyDescent="0.25">
      <c r="A25" s="60" t="s">
        <v>491</v>
      </c>
      <c r="B25" s="1">
        <v>80</v>
      </c>
    </row>
    <row r="26" spans="1:10" x14ac:dyDescent="0.25">
      <c r="A26" s="53">
        <v>2</v>
      </c>
      <c r="B26" s="1">
        <v>13</v>
      </c>
    </row>
    <row r="27" spans="1:10" x14ac:dyDescent="0.25">
      <c r="A27" s="54" t="s">
        <v>472</v>
      </c>
      <c r="B27" s="1">
        <v>13</v>
      </c>
    </row>
    <row r="28" spans="1:10" x14ac:dyDescent="0.25">
      <c r="A28" s="55">
        <v>1</v>
      </c>
      <c r="B28" s="1">
        <v>13</v>
      </c>
    </row>
    <row r="29" spans="1:10" x14ac:dyDescent="0.25">
      <c r="A29" s="56" t="s">
        <v>250</v>
      </c>
      <c r="B29" s="1">
        <v>13</v>
      </c>
    </row>
    <row r="30" spans="1:10" x14ac:dyDescent="0.25">
      <c r="A30" s="57" t="s">
        <v>478</v>
      </c>
      <c r="B30" s="1">
        <v>13</v>
      </c>
    </row>
    <row r="31" spans="1:10" x14ac:dyDescent="0.25">
      <c r="A31" s="59" t="s">
        <v>491</v>
      </c>
      <c r="B31" s="1">
        <v>13</v>
      </c>
    </row>
    <row r="32" spans="1:10" x14ac:dyDescent="0.25">
      <c r="A32" s="60" t="s">
        <v>491</v>
      </c>
      <c r="B32" s="1">
        <v>13</v>
      </c>
    </row>
    <row r="33" spans="1:2" x14ac:dyDescent="0.25">
      <c r="A33" s="53">
        <v>3</v>
      </c>
      <c r="B33" s="1"/>
    </row>
    <row r="34" spans="1:2" x14ac:dyDescent="0.25">
      <c r="A34" s="54" t="s">
        <v>473</v>
      </c>
      <c r="B34" s="1"/>
    </row>
    <row r="35" spans="1:2" x14ac:dyDescent="0.25">
      <c r="A35" s="55" t="s">
        <v>491</v>
      </c>
      <c r="B35" s="1"/>
    </row>
    <row r="36" spans="1:2" x14ac:dyDescent="0.25">
      <c r="A36" s="56" t="s">
        <v>491</v>
      </c>
      <c r="B36" s="1"/>
    </row>
    <row r="37" spans="1:2" x14ac:dyDescent="0.25">
      <c r="A37" s="57" t="s">
        <v>491</v>
      </c>
      <c r="B37" s="1"/>
    </row>
    <row r="38" spans="1:2" x14ac:dyDescent="0.25">
      <c r="A38" s="59" t="s">
        <v>491</v>
      </c>
      <c r="B38" s="1"/>
    </row>
    <row r="39" spans="1:2" x14ac:dyDescent="0.25">
      <c r="A39" s="60" t="s">
        <v>491</v>
      </c>
      <c r="B39" s="1"/>
    </row>
    <row r="40" spans="1:2" x14ac:dyDescent="0.25">
      <c r="A40" s="53">
        <v>4</v>
      </c>
      <c r="B40" s="1"/>
    </row>
    <row r="41" spans="1:2" x14ac:dyDescent="0.25">
      <c r="A41" s="54" t="s">
        <v>475</v>
      </c>
      <c r="B41" s="1"/>
    </row>
    <row r="42" spans="1:2" x14ac:dyDescent="0.25">
      <c r="A42" s="55" t="s">
        <v>491</v>
      </c>
      <c r="B42" s="1"/>
    </row>
    <row r="43" spans="1:2" x14ac:dyDescent="0.25">
      <c r="A43" s="56" t="s">
        <v>491</v>
      </c>
      <c r="B43" s="1"/>
    </row>
    <row r="44" spans="1:2" x14ac:dyDescent="0.25">
      <c r="A44" s="57" t="s">
        <v>491</v>
      </c>
      <c r="B44" s="1"/>
    </row>
    <row r="45" spans="1:2" x14ac:dyDescent="0.25">
      <c r="A45" s="59" t="s">
        <v>491</v>
      </c>
      <c r="B45" s="1"/>
    </row>
    <row r="46" spans="1:2" x14ac:dyDescent="0.25">
      <c r="A46" s="60" t="s">
        <v>491</v>
      </c>
      <c r="B46" s="1"/>
    </row>
    <row r="47" spans="1:2" x14ac:dyDescent="0.25">
      <c r="A47" s="53">
        <v>5</v>
      </c>
      <c r="B47" s="1"/>
    </row>
    <row r="48" spans="1:2" x14ac:dyDescent="0.25">
      <c r="A48" s="54" t="s">
        <v>504</v>
      </c>
      <c r="B48" s="1"/>
    </row>
    <row r="49" spans="1:2" x14ac:dyDescent="0.25">
      <c r="A49" s="55" t="s">
        <v>491</v>
      </c>
      <c r="B49" s="1"/>
    </row>
    <row r="50" spans="1:2" x14ac:dyDescent="0.25">
      <c r="A50" s="56" t="s">
        <v>491</v>
      </c>
      <c r="B50" s="1"/>
    </row>
    <row r="51" spans="1:2" x14ac:dyDescent="0.25">
      <c r="A51" s="57" t="s">
        <v>491</v>
      </c>
      <c r="B51" s="1"/>
    </row>
    <row r="52" spans="1:2" x14ac:dyDescent="0.25">
      <c r="A52" s="59" t="s">
        <v>491</v>
      </c>
      <c r="B52" s="1"/>
    </row>
    <row r="53" spans="1:2" x14ac:dyDescent="0.25">
      <c r="A53" s="60" t="s">
        <v>491</v>
      </c>
      <c r="B53" s="1"/>
    </row>
    <row r="54" spans="1:2" x14ac:dyDescent="0.25">
      <c r="A54" s="53">
        <v>6</v>
      </c>
      <c r="B54" s="1">
        <v>2</v>
      </c>
    </row>
    <row r="55" spans="1:2" x14ac:dyDescent="0.25">
      <c r="A55" s="54" t="s">
        <v>477</v>
      </c>
      <c r="B55" s="1">
        <v>2</v>
      </c>
    </row>
    <row r="56" spans="1:2" x14ac:dyDescent="0.25">
      <c r="A56" s="55">
        <v>1</v>
      </c>
      <c r="B56" s="1">
        <v>2</v>
      </c>
    </row>
    <row r="57" spans="1:2" x14ac:dyDescent="0.25">
      <c r="A57" s="56" t="s">
        <v>263</v>
      </c>
      <c r="B57" s="1">
        <v>2</v>
      </c>
    </row>
    <row r="58" spans="1:2" x14ac:dyDescent="0.25">
      <c r="A58" s="57" t="s">
        <v>478</v>
      </c>
      <c r="B58" s="1">
        <v>2</v>
      </c>
    </row>
    <row r="59" spans="1:2" x14ac:dyDescent="0.25">
      <c r="A59" s="59" t="s">
        <v>479</v>
      </c>
      <c r="B59" s="1">
        <v>2</v>
      </c>
    </row>
    <row r="60" spans="1:2" x14ac:dyDescent="0.25">
      <c r="A60" s="60" t="s">
        <v>469</v>
      </c>
      <c r="B60" s="1">
        <v>2</v>
      </c>
    </row>
    <row r="61" spans="1:2" x14ac:dyDescent="0.25">
      <c r="A61" s="53">
        <v>7</v>
      </c>
      <c r="B61" s="1"/>
    </row>
    <row r="62" spans="1:2" x14ac:dyDescent="0.25">
      <c r="A62" s="54" t="s">
        <v>513</v>
      </c>
      <c r="B62" s="1"/>
    </row>
    <row r="63" spans="1:2" x14ac:dyDescent="0.25">
      <c r="A63" s="55" t="s">
        <v>491</v>
      </c>
      <c r="B63" s="1"/>
    </row>
    <row r="64" spans="1:2" x14ac:dyDescent="0.25">
      <c r="A64" s="56" t="s">
        <v>491</v>
      </c>
      <c r="B64" s="1"/>
    </row>
    <row r="65" spans="1:2" x14ac:dyDescent="0.25">
      <c r="A65" s="57" t="s">
        <v>491</v>
      </c>
      <c r="B65" s="1"/>
    </row>
    <row r="66" spans="1:2" x14ac:dyDescent="0.25">
      <c r="A66" s="59" t="s">
        <v>491</v>
      </c>
      <c r="B66" s="1"/>
    </row>
    <row r="67" spans="1:2" x14ac:dyDescent="0.25">
      <c r="A67" s="60" t="s">
        <v>491</v>
      </c>
      <c r="B67" s="1"/>
    </row>
    <row r="68" spans="1:2" x14ac:dyDescent="0.25">
      <c r="A68" s="53" t="s">
        <v>510</v>
      </c>
      <c r="B68" s="1">
        <v>115</v>
      </c>
    </row>
  </sheetData>
  <mergeCells count="1">
    <mergeCell ref="A1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>
    <pageSetUpPr autoPageBreaks="0"/>
  </sheetPr>
  <dimension ref="B2:J25"/>
  <sheetViews>
    <sheetView showGridLines="0" tabSelected="1" topLeftCell="A10" zoomScale="115" zoomScaleNormal="115" workbookViewId="0">
      <selection activeCell="I23" sqref="I23"/>
    </sheetView>
  </sheetViews>
  <sheetFormatPr defaultRowHeight="15" x14ac:dyDescent="0.25"/>
  <cols>
    <col min="2" max="3" width="9.42578125" customWidth="1"/>
  </cols>
  <sheetData>
    <row r="2" spans="2:10" ht="23.25" x14ac:dyDescent="0.35">
      <c r="B2" s="43" t="s">
        <v>482</v>
      </c>
      <c r="C2" s="44"/>
      <c r="D2" s="44"/>
      <c r="E2" s="44"/>
      <c r="F2" s="44"/>
      <c r="G2" s="44"/>
      <c r="H2" s="44"/>
      <c r="I2" s="44"/>
      <c r="J2" s="45"/>
    </row>
    <row r="3" spans="2:10" x14ac:dyDescent="0.25">
      <c r="B3" s="46" t="s">
        <v>483</v>
      </c>
      <c r="C3" s="47"/>
      <c r="D3" s="47"/>
      <c r="E3" s="47"/>
      <c r="F3" s="47"/>
      <c r="G3" s="47"/>
      <c r="H3" s="47"/>
      <c r="I3" s="47"/>
      <c r="J3" s="48"/>
    </row>
    <row r="4" spans="2:10" x14ac:dyDescent="0.25">
      <c r="B4" s="49"/>
      <c r="C4" s="50"/>
      <c r="D4" s="50"/>
      <c r="E4" s="50"/>
      <c r="F4" s="50"/>
      <c r="G4" s="50"/>
      <c r="H4" s="50"/>
      <c r="I4" s="50"/>
      <c r="J4" s="51"/>
    </row>
    <row r="5" spans="2:10" x14ac:dyDescent="0.25">
      <c r="B5" s="30"/>
      <c r="C5" s="31"/>
      <c r="D5" s="31"/>
      <c r="E5" s="31"/>
      <c r="F5" s="31"/>
      <c r="G5" s="31"/>
      <c r="H5" s="31"/>
      <c r="I5" s="31"/>
      <c r="J5" s="32"/>
    </row>
    <row r="6" spans="2:10" x14ac:dyDescent="0.25">
      <c r="B6" s="30"/>
      <c r="C6" s="31"/>
      <c r="D6" s="31"/>
      <c r="E6" s="31"/>
      <c r="F6" s="31"/>
      <c r="G6" s="31"/>
      <c r="H6" s="31"/>
      <c r="I6" s="31"/>
      <c r="J6" s="32"/>
    </row>
    <row r="7" spans="2:10" x14ac:dyDescent="0.25">
      <c r="B7" s="30"/>
      <c r="C7" s="31"/>
      <c r="D7" s="31"/>
      <c r="E7" s="31"/>
      <c r="F7" s="31"/>
      <c r="G7" s="31"/>
      <c r="H7" s="31"/>
      <c r="I7" s="31"/>
      <c r="J7" s="32"/>
    </row>
    <row r="8" spans="2:10" x14ac:dyDescent="0.25">
      <c r="B8" s="30"/>
      <c r="C8" s="31"/>
      <c r="D8" s="31"/>
      <c r="E8" s="31"/>
      <c r="F8" s="31"/>
      <c r="G8" s="31"/>
      <c r="H8" s="31"/>
      <c r="I8" s="31"/>
      <c r="J8" s="32"/>
    </row>
    <row r="9" spans="2:10" x14ac:dyDescent="0.25">
      <c r="B9" s="37" t="s">
        <v>481</v>
      </c>
      <c r="C9" s="31"/>
      <c r="D9" s="31"/>
      <c r="E9" s="31"/>
      <c r="F9" s="31"/>
      <c r="G9" s="31"/>
      <c r="H9" s="31"/>
      <c r="I9" s="31"/>
      <c r="J9" s="32"/>
    </row>
    <row r="10" spans="2:10" x14ac:dyDescent="0.25">
      <c r="B10" s="30"/>
      <c r="C10" s="31"/>
      <c r="D10" s="31"/>
      <c r="E10" s="31"/>
      <c r="F10" s="31"/>
      <c r="G10" s="31"/>
      <c r="H10" s="31"/>
      <c r="I10" s="31"/>
      <c r="J10" s="32"/>
    </row>
    <row r="11" spans="2:10" x14ac:dyDescent="0.25">
      <c r="B11" s="36" t="s">
        <v>489</v>
      </c>
      <c r="F11" s="31"/>
      <c r="G11" s="31"/>
      <c r="H11" s="31"/>
      <c r="I11" s="31"/>
      <c r="J11" s="32"/>
    </row>
    <row r="12" spans="2:10" x14ac:dyDescent="0.25">
      <c r="B12" s="37" t="s">
        <v>487</v>
      </c>
      <c r="C12" s="31"/>
      <c r="D12" s="38" t="s">
        <v>516</v>
      </c>
      <c r="E12" s="39"/>
      <c r="F12" s="31"/>
      <c r="G12" s="31"/>
      <c r="H12" s="31"/>
      <c r="I12" s="31"/>
      <c r="J12" s="32"/>
    </row>
    <row r="13" spans="2:10" x14ac:dyDescent="0.25">
      <c r="B13" s="37" t="s">
        <v>488</v>
      </c>
      <c r="C13" s="31"/>
      <c r="D13" s="38" t="s">
        <v>517</v>
      </c>
      <c r="E13" s="39"/>
      <c r="F13" s="31"/>
      <c r="G13" s="31"/>
      <c r="H13" s="31"/>
      <c r="I13" s="31"/>
      <c r="J13" s="32"/>
    </row>
    <row r="14" spans="2:10" x14ac:dyDescent="0.25">
      <c r="B14" s="36"/>
      <c r="C14" s="31"/>
      <c r="D14" s="31"/>
      <c r="E14" s="31"/>
      <c r="F14" s="31"/>
      <c r="G14" s="31"/>
      <c r="H14" s="31"/>
      <c r="I14" s="31"/>
      <c r="J14" s="32"/>
    </row>
    <row r="15" spans="2:10" x14ac:dyDescent="0.25">
      <c r="B15" s="36"/>
      <c r="C15" s="31"/>
      <c r="D15" s="31"/>
      <c r="E15" s="31"/>
      <c r="F15" s="31"/>
      <c r="G15" s="31"/>
      <c r="H15" s="31"/>
      <c r="I15" s="31"/>
      <c r="J15" s="32"/>
    </row>
    <row r="16" spans="2:10" x14ac:dyDescent="0.25">
      <c r="B16" s="36" t="s">
        <v>484</v>
      </c>
      <c r="C16" s="31"/>
      <c r="D16" s="31"/>
      <c r="E16" s="31"/>
      <c r="F16" s="31"/>
      <c r="G16" s="31"/>
      <c r="H16" s="31"/>
      <c r="I16" s="31"/>
      <c r="J16" s="32"/>
    </row>
    <row r="17" spans="2:10" x14ac:dyDescent="0.25">
      <c r="B17" s="37" t="s">
        <v>485</v>
      </c>
      <c r="C17" s="31"/>
      <c r="D17" s="38" t="s">
        <v>518</v>
      </c>
      <c r="E17" s="39"/>
      <c r="F17" s="31"/>
      <c r="G17" s="31"/>
      <c r="H17" s="31"/>
      <c r="I17" s="31"/>
      <c r="J17" s="32"/>
    </row>
    <row r="18" spans="2:10" x14ac:dyDescent="0.25">
      <c r="B18" s="37" t="s">
        <v>486</v>
      </c>
      <c r="C18" s="31"/>
      <c r="D18" s="40">
        <v>1</v>
      </c>
      <c r="E18" s="41"/>
      <c r="F18" s="31"/>
      <c r="G18" s="31"/>
      <c r="H18" s="31"/>
      <c r="I18" s="31"/>
      <c r="J18" s="32"/>
    </row>
    <row r="19" spans="2:10" x14ac:dyDescent="0.25">
      <c r="B19" s="37" t="s">
        <v>487</v>
      </c>
      <c r="C19" s="31"/>
      <c r="D19" s="38" t="s">
        <v>519</v>
      </c>
      <c r="E19" s="42"/>
      <c r="F19" s="42"/>
      <c r="G19" s="39"/>
      <c r="H19" s="31"/>
      <c r="I19" s="31"/>
      <c r="J19" s="32"/>
    </row>
    <row r="20" spans="2:10" x14ac:dyDescent="0.25">
      <c r="B20" s="30"/>
      <c r="C20" s="31"/>
      <c r="D20" s="31"/>
      <c r="E20" s="31"/>
      <c r="F20" s="31"/>
      <c r="G20" s="31"/>
      <c r="H20" s="31"/>
      <c r="I20" s="31"/>
      <c r="J20" s="32"/>
    </row>
    <row r="21" spans="2:10" x14ac:dyDescent="0.25">
      <c r="B21" s="30"/>
      <c r="C21" s="31"/>
      <c r="D21" s="31"/>
      <c r="E21" s="31"/>
      <c r="F21" s="31"/>
      <c r="G21" s="31"/>
      <c r="H21" s="31"/>
      <c r="I21" s="31"/>
      <c r="J21" s="32"/>
    </row>
    <row r="22" spans="2:10" x14ac:dyDescent="0.25">
      <c r="B22" s="30"/>
      <c r="C22" s="31"/>
      <c r="D22" s="31"/>
      <c r="E22" s="31"/>
      <c r="F22" s="31"/>
      <c r="G22" s="31"/>
      <c r="H22" s="31"/>
      <c r="I22" s="31"/>
      <c r="J22" s="32"/>
    </row>
    <row r="23" spans="2:10" x14ac:dyDescent="0.25">
      <c r="B23" s="30"/>
      <c r="C23" s="31"/>
      <c r="D23" s="31"/>
      <c r="E23" s="31"/>
      <c r="F23" s="31"/>
      <c r="G23" s="31"/>
      <c r="H23" s="31"/>
      <c r="I23" s="31"/>
      <c r="J23" s="32"/>
    </row>
    <row r="24" spans="2:10" x14ac:dyDescent="0.25">
      <c r="B24" s="30"/>
      <c r="C24" s="31"/>
      <c r="D24" s="31"/>
      <c r="E24" s="31"/>
      <c r="F24" s="31"/>
      <c r="G24" s="31"/>
      <c r="H24" s="31"/>
      <c r="I24" s="31"/>
      <c r="J24" s="32"/>
    </row>
    <row r="25" spans="2:10" x14ac:dyDescent="0.25">
      <c r="B25" s="33"/>
      <c r="C25" s="34"/>
      <c r="D25" s="34"/>
      <c r="E25" s="34"/>
      <c r="F25" s="34"/>
      <c r="G25" s="34"/>
      <c r="H25" s="34"/>
      <c r="I25" s="34"/>
      <c r="J25" s="35"/>
    </row>
  </sheetData>
  <mergeCells count="7">
    <mergeCell ref="D13:E13"/>
    <mergeCell ref="D17:E17"/>
    <mergeCell ref="D18:E18"/>
    <mergeCell ref="D19:G19"/>
    <mergeCell ref="B2:J2"/>
    <mergeCell ref="B3:J4"/>
    <mergeCell ref="D12:E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UserFormButtonExploration">
          <controlPr defaultSize="0" autoLine="0" r:id="rId5">
            <anchor moveWithCells="1" sizeWithCells="1">
              <from>
                <xdr:col>1</xdr:col>
                <xdr:colOff>123825</xdr:colOff>
                <xdr:row>20</xdr:row>
                <xdr:rowOff>180975</xdr:rowOff>
              </from>
              <to>
                <xdr:col>4</xdr:col>
                <xdr:colOff>76200</xdr:colOff>
                <xdr:row>24</xdr:row>
                <xdr:rowOff>0</xdr:rowOff>
              </to>
            </anchor>
          </controlPr>
        </control>
      </mc:Choice>
      <mc:Fallback>
        <control shapeId="1025" r:id="rId4" name="UserFormButtonExplor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5"/>
  <sheetViews>
    <sheetView workbookViewId="0">
      <pane xSplit="1" topLeftCell="F1" activePane="topRight" state="frozen"/>
      <selection activeCell="M28" sqref="M28"/>
      <selection pane="topRight" activeCell="M28" sqref="M28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439</v>
      </c>
      <c r="M1" t="s">
        <v>440</v>
      </c>
      <c r="N1" t="s">
        <v>175</v>
      </c>
      <c r="O1" t="s">
        <v>177</v>
      </c>
      <c r="P1" t="s">
        <v>407</v>
      </c>
      <c r="Q1" t="s">
        <v>408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352</v>
      </c>
      <c r="Z1" t="s">
        <v>456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>"C"&amp;ROW()-2</f>
        <v>C1</v>
      </c>
      <c r="B3" t="s">
        <v>238</v>
      </c>
      <c r="D3" t="s">
        <v>243</v>
      </c>
      <c r="R3" t="s">
        <v>286</v>
      </c>
      <c r="S3" t="s">
        <v>269</v>
      </c>
    </row>
    <row r="4" spans="1:27" x14ac:dyDescent="0.25">
      <c r="A4" t="str">
        <f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405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270</v>
      </c>
      <c r="V4" t="s">
        <v>223</v>
      </c>
      <c r="W4" t="s">
        <v>242</v>
      </c>
      <c r="X4" t="s">
        <v>5</v>
      </c>
      <c r="Y4">
        <v>1</v>
      </c>
      <c r="AA4" t="s">
        <v>240</v>
      </c>
    </row>
    <row r="5" spans="1:27" x14ac:dyDescent="0.25">
      <c r="A5" t="str">
        <f>"C"&amp;ROW()-2</f>
        <v>C3</v>
      </c>
      <c r="B5" t="s">
        <v>238</v>
      </c>
      <c r="R5" t="s">
        <v>239</v>
      </c>
    </row>
  </sheetData>
  <phoneticPr fontId="1" type="noConversion"/>
  <dataValidations count="13">
    <dataValidation type="list" allowBlank="1" showErrorMessage="1" sqref="D2:D5" xr:uid="{310B5C64-E75B-48B0-A433-987ACC6A4389}">
      <formula1>"nachweisbar, nicht nachweisbar"</formula1>
    </dataValidation>
    <dataValidation type="list" allowBlank="1" showInputMessage="1" showErrorMessage="1" sqref="O2:O5" xr:uid="{BE8A61CA-55EE-44EB-B6CC-F3311FC218FB}">
      <formula1>"auffällig, nicht auffällig"</formula1>
    </dataValidation>
    <dataValidation type="list" allowBlank="1" showInputMessage="1" showErrorMessage="1" sqref="T2:T5 X2:X5 AB2:AB4 AA2:AA5" xr:uid="{0C1B8A6C-111C-4A71-B7CB-19BBB7CA01B8}">
      <formula1>"eingehalten, nicht eingehalten"</formula1>
    </dataValidation>
    <dataValidation type="list" allowBlank="1" showInputMessage="1" showErrorMessage="1" sqref="W2:W5" xr:uid="{BBFD99F8-4F98-4551-92EF-03D41A8C6CE6}">
      <formula1>"Spalte 5, DK1, DK2"</formula1>
    </dataValidation>
    <dataValidation type="list" allowBlank="1" showInputMessage="1" showErrorMessage="1" sqref="V2:V5" xr:uid="{2794A249-3D56-44F3-BA92-18A27C5E4D87}">
      <formula1>"DK0, DK1, DK2, DK3, &gt;DK3"</formula1>
    </dataValidation>
    <dataValidation type="list" allowBlank="1" showInputMessage="1" showErrorMessage="1" sqref="U2:U5" xr:uid="{1E602BBC-AD99-4DA7-85B3-EFB0009D9C54}">
      <formula1>"RC1, RC2, RC3, &gt;RC3"</formula1>
    </dataValidation>
    <dataValidation type="list" allowBlank="1" showInputMessage="1" showErrorMessage="1" sqref="R2:S5" xr:uid="{FA06BEE0-3E9C-4195-BDEB-FDE18FB3A0C9}">
      <formula1>"Z0, Z0*, Z1.1, Z1.2, Z2, &gt;Z2"</formula1>
    </dataValidation>
    <dataValidation type="list" allowBlank="1" showInputMessage="1" showErrorMessage="1" sqref="B2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5"/>
  <sheetViews>
    <sheetView workbookViewId="0">
      <selection activeCell="M28" sqref="M28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23</v>
      </c>
    </row>
    <row r="5" spans="1:4" x14ac:dyDescent="0.25">
      <c r="A5" s="1" t="str">
        <f>"A"&amp;ROW()-1</f>
        <v>A4</v>
      </c>
      <c r="B5">
        <f>ROW()-1</f>
        <v>4</v>
      </c>
      <c r="C5" t="s">
        <v>315</v>
      </c>
      <c r="D5" s="4">
        <v>251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M28" sqref="M28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3214</v>
      </c>
      <c r="E4" s="3">
        <v>123</v>
      </c>
      <c r="F4" s="5">
        <f>IFERROR(AVERAGE(Lp.Table[[#This Row],[WERT_1]:[WERT_3]]),"")</f>
        <v>1112.6666666666667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/>
    </row>
    <row r="5" spans="1:10" x14ac:dyDescent="0.25">
      <c r="A5" s="1" t="str">
        <f>"LP"&amp;ROW()-1</f>
        <v>LP4</v>
      </c>
      <c r="B5" s="1">
        <f>ROW()-1</f>
        <v>4</v>
      </c>
      <c r="C5" s="3">
        <v>123</v>
      </c>
      <c r="D5" s="3">
        <v>1</v>
      </c>
      <c r="E5" s="3">
        <v>13</v>
      </c>
      <c r="F5" s="5">
        <f>IFERROR(AVERAGE(Lp.Table[[#This Row],[WERT_1]:[WERT_3]]),"")</f>
        <v>45.666666666666664</v>
      </c>
      <c r="G5" s="1">
        <f>IFERROR(ROUND(22.5/Lp.Table[[#This Row],[MITTELWERT]],1),"")</f>
        <v>0.5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141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13</v>
      </c>
      <c r="D6" s="3">
        <v>32</v>
      </c>
      <c r="E6" s="3">
        <v>41</v>
      </c>
      <c r="F6" s="5">
        <f>IFERROR(AVERAGE(Lp.Table[[#This Row],[WERT_1]:[WERT_3]]),"")</f>
        <v>28.666666666666668</v>
      </c>
      <c r="G6" s="1">
        <f>IFERROR(ROUND(22.5/Lp.Table[[#This Row],[MITTELWERT]],1),"")</f>
        <v>0.8</v>
      </c>
      <c r="H6" s="6">
        <f>IFERROR(ROUND(Lp.Table[[#This Row],[EV]]*0.85,0),"")</f>
        <v>1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115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H8"/>
  <sheetViews>
    <sheetView workbookViewId="0">
      <pane xSplit="2" topLeftCell="D1" activePane="topRight" state="frozen"/>
      <selection activeCell="M28" sqref="M28"/>
      <selection pane="topRight" activeCell="M28" sqref="M28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3" hidden="1" customWidth="1"/>
    <col min="4" max="4" width="12" bestFit="1" customWidth="1"/>
    <col min="5" max="5" width="10.7109375" bestFit="1" customWidth="1"/>
    <col min="6" max="6" width="11.140625" bestFit="1" customWidth="1"/>
    <col min="7" max="7" width="10.5703125" bestFit="1" customWidth="1"/>
    <col min="8" max="8" width="21" bestFit="1" customWidth="1"/>
    <col min="9" max="9" width="17.5703125" customWidth="1"/>
    <col min="10" max="10" width="51.7109375" bestFit="1" customWidth="1"/>
    <col min="11" max="11" width="18.42578125" bestFit="1" customWidth="1"/>
    <col min="12" max="12" width="19.42578125" bestFit="1" customWidth="1"/>
    <col min="13" max="13" width="26" bestFit="1" customWidth="1"/>
    <col min="14" max="14" width="13.85546875" bestFit="1" customWidth="1"/>
    <col min="15" max="15" width="21.28515625" bestFit="1" customWidth="1"/>
    <col min="16" max="16" width="27.5703125" bestFit="1" customWidth="1"/>
    <col min="17" max="17" width="19.7109375" bestFit="1" customWidth="1"/>
    <col min="18" max="18" width="26" bestFit="1" customWidth="1"/>
    <col min="19" max="19" width="21.28515625" bestFit="1" customWidth="1"/>
    <col min="20" max="20" width="17.140625" bestFit="1" customWidth="1"/>
    <col min="21" max="21" width="22.28515625" bestFit="1" customWidth="1"/>
    <col min="22" max="22" width="14.42578125" bestFit="1" customWidth="1"/>
    <col min="23" max="23" width="23.85546875" bestFit="1" customWidth="1"/>
    <col min="24" max="24" width="11.28515625" bestFit="1" customWidth="1"/>
    <col min="25" max="25" width="115.42578125" bestFit="1" customWidth="1"/>
    <col min="26" max="26" width="15.140625" customWidth="1"/>
    <col min="27" max="33" width="15" bestFit="1" customWidth="1"/>
    <col min="34" max="34" width="16" bestFit="1" customWidth="1"/>
  </cols>
  <sheetData>
    <row r="1" spans="1:34" x14ac:dyDescent="0.25">
      <c r="A1" s="16" t="s">
        <v>474</v>
      </c>
      <c r="B1" s="16" t="s">
        <v>7</v>
      </c>
      <c r="C1" s="16" t="s">
        <v>459</v>
      </c>
      <c r="D1" s="16" t="s">
        <v>8</v>
      </c>
      <c r="E1" s="17" t="s">
        <v>9</v>
      </c>
      <c r="F1" s="18" t="s">
        <v>10</v>
      </c>
      <c r="G1" s="18" t="s">
        <v>11</v>
      </c>
      <c r="H1" s="18" t="s">
        <v>29</v>
      </c>
      <c r="I1" s="18" t="s">
        <v>30</v>
      </c>
      <c r="J1" s="18" t="s">
        <v>31</v>
      </c>
      <c r="K1" s="18" t="s">
        <v>32</v>
      </c>
      <c r="L1" s="18" t="s">
        <v>33</v>
      </c>
      <c r="M1" s="18" t="s">
        <v>34</v>
      </c>
      <c r="N1" s="18" t="s">
        <v>35</v>
      </c>
      <c r="O1" s="18" t="s">
        <v>36</v>
      </c>
      <c r="P1" s="18" t="s">
        <v>37</v>
      </c>
      <c r="Q1" s="18" t="s">
        <v>38</v>
      </c>
      <c r="R1" s="18" t="s">
        <v>39</v>
      </c>
      <c r="S1" s="18" t="s">
        <v>40</v>
      </c>
      <c r="T1" s="18" t="s">
        <v>41</v>
      </c>
      <c r="U1" s="18" t="s">
        <v>42</v>
      </c>
      <c r="V1" s="18" t="s">
        <v>43</v>
      </c>
      <c r="W1" s="18" t="s">
        <v>44</v>
      </c>
      <c r="X1" s="18" t="s">
        <v>45</v>
      </c>
      <c r="Y1" s="10" t="s">
        <v>319</v>
      </c>
      <c r="Z1" s="10" t="s">
        <v>320</v>
      </c>
      <c r="AA1" s="10" t="s">
        <v>321</v>
      </c>
      <c r="AB1" s="10" t="s">
        <v>322</v>
      </c>
      <c r="AC1" s="10" t="s">
        <v>323</v>
      </c>
      <c r="AD1" s="10" t="s">
        <v>324</v>
      </c>
      <c r="AE1" s="10" t="s">
        <v>325</v>
      </c>
      <c r="AF1" s="10" t="s">
        <v>326</v>
      </c>
      <c r="AG1" s="10" t="s">
        <v>327</v>
      </c>
      <c r="AH1" s="10" t="s">
        <v>328</v>
      </c>
    </row>
    <row r="2" spans="1:34" x14ac:dyDescent="0.25">
      <c r="A2" t="str">
        <f t="shared" ref="A2:A7" si="0">"ERK "&amp;ROW()-1</f>
        <v>ERK 1</v>
      </c>
      <c r="B2" t="s">
        <v>0</v>
      </c>
      <c r="C2" s="1" t="str">
        <f t="shared" ref="C2:C7" si="1">"EXPLORATION"</f>
        <v>EXPLORATION</v>
      </c>
      <c r="D2">
        <v>1</v>
      </c>
      <c r="E2" s="28"/>
      <c r="J2" s="12"/>
      <c r="P2" s="12"/>
    </row>
    <row r="3" spans="1:34" x14ac:dyDescent="0.25">
      <c r="A3" s="1" t="str">
        <f t="shared" si="0"/>
        <v>ERK 2</v>
      </c>
      <c r="B3" t="s">
        <v>472</v>
      </c>
      <c r="C3" s="1" t="str">
        <f t="shared" si="1"/>
        <v>EXPLORATION</v>
      </c>
      <c r="D3">
        <v>2</v>
      </c>
      <c r="E3" s="28"/>
      <c r="J3" s="12"/>
      <c r="M3" t="s">
        <v>227</v>
      </c>
      <c r="P3" s="12"/>
    </row>
    <row r="4" spans="1:34" x14ac:dyDescent="0.25">
      <c r="A4" s="1" t="str">
        <f t="shared" si="0"/>
        <v>ERK 3</v>
      </c>
      <c r="B4" t="s">
        <v>473</v>
      </c>
      <c r="C4" s="1" t="str">
        <f t="shared" si="1"/>
        <v>EXPLORATION</v>
      </c>
      <c r="D4">
        <v>3</v>
      </c>
      <c r="E4" s="28" t="s">
        <v>476</v>
      </c>
      <c r="J4" s="12"/>
      <c r="K4" t="s">
        <v>244</v>
      </c>
      <c r="L4" t="s">
        <v>228</v>
      </c>
      <c r="N4" t="s">
        <v>260</v>
      </c>
      <c r="O4">
        <v>3.2</v>
      </c>
      <c r="P4" s="12"/>
      <c r="Q4" t="s">
        <v>231</v>
      </c>
      <c r="R4" t="s">
        <v>231</v>
      </c>
      <c r="S4" t="s">
        <v>273</v>
      </c>
    </row>
    <row r="5" spans="1:34" x14ac:dyDescent="0.25">
      <c r="A5" s="1" t="str">
        <f t="shared" si="0"/>
        <v>ERK 4</v>
      </c>
      <c r="B5" t="s">
        <v>475</v>
      </c>
      <c r="C5" s="1" t="str">
        <f t="shared" si="1"/>
        <v>EXPLORATION</v>
      </c>
      <c r="D5">
        <v>4</v>
      </c>
      <c r="E5" s="28" t="s">
        <v>490</v>
      </c>
      <c r="J5" s="12"/>
      <c r="P5" s="12"/>
    </row>
    <row r="6" spans="1:34" x14ac:dyDescent="0.25">
      <c r="A6" s="1" t="str">
        <f t="shared" si="0"/>
        <v>ERK 5</v>
      </c>
      <c r="B6" t="s">
        <v>477</v>
      </c>
      <c r="C6" s="1" t="str">
        <f t="shared" si="1"/>
        <v>EXPLORATION</v>
      </c>
      <c r="D6">
        <v>6</v>
      </c>
      <c r="E6" s="28"/>
      <c r="J6" s="12"/>
      <c r="P6" s="12"/>
    </row>
    <row r="7" spans="1:34" x14ac:dyDescent="0.25">
      <c r="A7" s="1" t="str">
        <f t="shared" si="0"/>
        <v>ERK 6</v>
      </c>
      <c r="B7" t="s">
        <v>504</v>
      </c>
      <c r="C7" s="1" t="str">
        <f t="shared" si="1"/>
        <v>EXPLORATION</v>
      </c>
      <c r="D7">
        <v>5</v>
      </c>
      <c r="E7" s="28"/>
      <c r="J7" s="12"/>
      <c r="P7" s="12"/>
    </row>
    <row r="8" spans="1:34" x14ac:dyDescent="0.25">
      <c r="A8" s="1" t="str">
        <f>"ERK "&amp;ROW()-1</f>
        <v>ERK 7</v>
      </c>
      <c r="B8" t="s">
        <v>513</v>
      </c>
      <c r="C8" s="1" t="str">
        <f>"EXPLORATION"</f>
        <v>EXPLORATION</v>
      </c>
      <c r="D8">
        <v>7</v>
      </c>
      <c r="E8" s="28" t="s">
        <v>514</v>
      </c>
      <c r="J8" s="12"/>
      <c r="P8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S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O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N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L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1" xr:uid="{7F1FF105-03C1-449B-96C1-5DC380EDD8F5}"/>
    <dataValidation errorStyle="information" allowBlank="1" showInputMessage="1" sqref="Y1" xr:uid="{68ADA6D7-3D37-48BA-88DB-4EFAC25AABB4}"/>
    <dataValidation allowBlank="1" showInputMessage="1" sqref="Z1:AH1" xr:uid="{CF737C7D-0277-46F7-AA23-3D178A87F598}"/>
    <dataValidation type="list" errorStyle="information" allowBlank="1" showInputMessage="1" sqref="Y2:Y1048576" xr:uid="{7DA0F676-1112-4FDF-A639-37799EC1C942}">
      <formula1>FOOTNOTE_AUSWAHL</formula1>
    </dataValidation>
    <dataValidation type="list" allowBlank="1" showInputMessage="1" sqref="Z2:AH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2:K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L2:L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2:M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N2:N1048576" xr:uid="{3B55915B-49DD-4566-A23C-E4418E081189}">
      <formula1>OBERKANTE_AUSWAHL</formula1>
    </dataValidation>
    <dataValidation type="list" allowBlank="1" showInputMessage="1" showErrorMessage="1" sqref="Q2:R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S2:S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O2:O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6"/>
  <sheetViews>
    <sheetView workbookViewId="0">
      <pane xSplit="9" topLeftCell="J1" activePane="topRight" state="frozen"/>
      <selection activeCell="M28" sqref="M28"/>
      <selection pane="topRight" activeCell="M28" sqref="M28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459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470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17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451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">
        <v>405</v>
      </c>
      <c r="AA2">
        <v>1</v>
      </c>
      <c r="AB2" t="s">
        <v>452</v>
      </c>
      <c r="AC2" t="s">
        <v>452</v>
      </c>
      <c r="AD2" t="s">
        <v>220</v>
      </c>
      <c r="AE2" t="s">
        <v>452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471</v>
      </c>
      <c r="E3" t="s">
        <v>470</v>
      </c>
      <c r="F3" t="str">
        <f>"LAYER"</f>
        <v>LAYER</v>
      </c>
      <c r="G3">
        <v>2</v>
      </c>
      <c r="H3" t="s">
        <v>190</v>
      </c>
      <c r="I3" t="s">
        <v>189</v>
      </c>
      <c r="L3">
        <v>3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s="1"/>
    </row>
    <row r="4" spans="1:31" x14ac:dyDescent="0.25">
      <c r="A4" t="str">
        <f>"SE"&amp;ROW()-1</f>
        <v>SE3</v>
      </c>
      <c r="B4" t="s">
        <v>0</v>
      </c>
      <c r="F4" t="str">
        <f>"LAYER"</f>
        <v>LAYER</v>
      </c>
      <c r="G4">
        <v>3</v>
      </c>
      <c r="H4" t="s">
        <v>232</v>
      </c>
      <c r="I4" t="s">
        <v>520</v>
      </c>
      <c r="L4">
        <v>80</v>
      </c>
      <c r="M4" s="1" t="e">
        <f ca="1">Erkundungsstelle.Sample.Table[[#This Row],[TIEFE_ENDE]]-Erkundungsstelle.Sample.Table[[#This Row],[DICKE]]</f>
        <v>#VALUE!</v>
      </c>
      <c r="N4" s="1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4" s="1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Gem. a. G. ST</v>
      </c>
      <c r="Z4" s="1"/>
    </row>
    <row r="5" spans="1:31" x14ac:dyDescent="0.25">
      <c r="A5" t="str">
        <f>"SE"&amp;ROW()-1</f>
        <v>SE4</v>
      </c>
      <c r="B5" t="s">
        <v>477</v>
      </c>
      <c r="C5" t="s">
        <v>478</v>
      </c>
      <c r="D5" t="s">
        <v>469</v>
      </c>
      <c r="E5" t="s">
        <v>479</v>
      </c>
      <c r="F5" t="str">
        <f>"LAYER"</f>
        <v>LAYER</v>
      </c>
      <c r="G5">
        <v>1</v>
      </c>
      <c r="H5" t="s">
        <v>263</v>
      </c>
      <c r="I5" t="s">
        <v>480</v>
      </c>
      <c r="L5">
        <v>2</v>
      </c>
      <c r="M5" s="1" t="e">
        <f ca="1">Erkundungsstelle.Sample.Table[[#This Row],[TIEFE_ENDE]]-Erkundungsstelle.Sample.Table[[#This Row],[DICKE]]</f>
        <v>#VALUE!</v>
      </c>
      <c r="N5" s="1" t="e" cm="1">
        <f t="array" aca="1" ref="N5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5" s="1" t="str" cm="1">
        <f t="array" ref="Y5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GT*</v>
      </c>
      <c r="Z5" s="1"/>
    </row>
    <row r="6" spans="1:31" x14ac:dyDescent="0.25">
      <c r="A6" t="str">
        <f>"SE"&amp;ROW()-1</f>
        <v>SE5</v>
      </c>
      <c r="B6" t="s">
        <v>472</v>
      </c>
      <c r="C6" t="s">
        <v>478</v>
      </c>
      <c r="F6" t="str">
        <f>"LAYER"</f>
        <v>LAYER</v>
      </c>
      <c r="G6">
        <v>1</v>
      </c>
      <c r="H6" t="s">
        <v>250</v>
      </c>
      <c r="I6" t="s">
        <v>506</v>
      </c>
      <c r="L6">
        <v>13</v>
      </c>
      <c r="M6" s="1" t="e">
        <f ca="1">Erkundungsstelle.Sample.Table[[#This Row],[TIEFE_ENDE]]-Erkundungsstelle.Sample.Table[[#This Row],[DICKE]]</f>
        <v>#VALUE!</v>
      </c>
      <c r="N6" s="1" t="e" cm="1">
        <f t="array" aca="1" ref="N6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6" s="1" t="str" cm="1">
        <f t="array" ref="Y6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Boden</v>
      </c>
      <c r="Z6" s="1"/>
    </row>
  </sheetData>
  <dataValidations count="19">
    <dataValidation type="list" allowBlank="1" showInputMessage="1" showErrorMessage="1" sqref="E2:E6" xr:uid="{606FD157-69C7-4181-BEEF-39619C01D709}">
      <formula1>LP_ID</formula1>
    </dataValidation>
    <dataValidation type="list" allowBlank="1" showInputMessage="1" showErrorMessage="1" sqref="B2:B6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6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6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6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6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6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6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6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6" xr:uid="{8DF64396-2A47-4FDF-BCFB-19DF6266431B}">
      <formula1>AUFSCHLUSS_AUSWAHL</formula1>
    </dataValidation>
    <dataValidation type="list" allowBlank="1" showInputMessage="1" showErrorMessage="1" sqref="C2:C6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J8"/>
  <sheetViews>
    <sheetView workbookViewId="0">
      <selection activeCell="M28" sqref="M28"/>
    </sheetView>
  </sheetViews>
  <sheetFormatPr defaultColWidth="11.42578125" defaultRowHeight="15" x14ac:dyDescent="0.25"/>
  <cols>
    <col min="1" max="1" width="13.5703125" bestFit="1" customWidth="1"/>
    <col min="2" max="2" width="13.42578125" customWidth="1"/>
    <col min="3" max="3" width="7.5703125" hidden="1" customWidth="1"/>
    <col min="4" max="4" width="12" bestFit="1" customWidth="1"/>
    <col min="5" max="5" width="10.7109375" bestFit="1" customWidth="1"/>
    <col min="6" max="6" width="18.85546875" customWidth="1"/>
    <col min="7" max="7" width="10.5703125" bestFit="1" customWidth="1"/>
    <col min="8" max="8" width="21" bestFit="1" customWidth="1"/>
    <col min="9" max="9" width="17.28515625" bestFit="1" customWidth="1"/>
    <col min="10" max="10" width="51.7109375" bestFit="1" customWidth="1"/>
  </cols>
  <sheetData>
    <row r="1" spans="1:10" x14ac:dyDescent="0.25">
      <c r="A1" s="19" t="s">
        <v>474</v>
      </c>
      <c r="B1" s="19" t="s">
        <v>7</v>
      </c>
      <c r="C1" s="19" t="s">
        <v>459</v>
      </c>
      <c r="D1" s="19" t="s">
        <v>8</v>
      </c>
      <c r="E1" s="20" t="s">
        <v>9</v>
      </c>
      <c r="F1" s="21" t="s">
        <v>10</v>
      </c>
      <c r="G1" s="21" t="s">
        <v>11</v>
      </c>
      <c r="H1" s="21" t="s">
        <v>29</v>
      </c>
      <c r="I1" s="21" t="s">
        <v>30</v>
      </c>
      <c r="J1" s="21" t="s">
        <v>31</v>
      </c>
    </row>
    <row r="2" spans="1:10" x14ac:dyDescent="0.25">
      <c r="A2" t="str">
        <f>"HAUF "&amp;ROW()-1</f>
        <v>HAUF 1</v>
      </c>
      <c r="B2" t="s">
        <v>1</v>
      </c>
      <c r="C2" t="str">
        <f>"HEAP"</f>
        <v>HEAP</v>
      </c>
      <c r="D2">
        <v>1</v>
      </c>
      <c r="E2" s="11">
        <v>44425</v>
      </c>
      <c r="F2" t="s">
        <v>347</v>
      </c>
      <c r="G2" t="s">
        <v>341</v>
      </c>
      <c r="H2" t="s">
        <v>348</v>
      </c>
      <c r="I2" t="s">
        <v>342</v>
      </c>
      <c r="J2" s="12" t="s">
        <v>343</v>
      </c>
    </row>
    <row r="3" spans="1:10" x14ac:dyDescent="0.25">
      <c r="E3" s="11"/>
      <c r="J3" s="12"/>
    </row>
    <row r="4" spans="1:10" x14ac:dyDescent="0.25">
      <c r="E4" s="11"/>
      <c r="J4" s="12"/>
    </row>
    <row r="5" spans="1:10" x14ac:dyDescent="0.25">
      <c r="E5" s="11"/>
      <c r="J5" s="12"/>
    </row>
    <row r="6" spans="1:10" x14ac:dyDescent="0.25">
      <c r="E6" s="11"/>
      <c r="J6" s="12"/>
    </row>
    <row r="7" spans="1:10" x14ac:dyDescent="0.25">
      <c r="E7" s="11"/>
      <c r="J7" s="12"/>
    </row>
    <row r="8" spans="1:10" x14ac:dyDescent="0.25">
      <c r="E8" s="11"/>
      <c r="J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M28" sqref="M28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459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>"HAUFWERK"</f>
        <v>HAUFWERK</v>
      </c>
      <c r="G2" t="s">
        <v>346</v>
      </c>
      <c r="H2" s="13" t="s">
        <v>345</v>
      </c>
      <c r="I2" t="s">
        <v>349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350</v>
      </c>
      <c r="N2" t="s">
        <v>309</v>
      </c>
      <c r="Q2" t="s">
        <v>235</v>
      </c>
      <c r="R2" t="s">
        <v>351</v>
      </c>
    </row>
    <row r="3" spans="1:18" x14ac:dyDescent="0.25">
      <c r="A3" t="str">
        <f>"SH"&amp;ROW()-1</f>
        <v>SH2</v>
      </c>
      <c r="B3" t="s">
        <v>1</v>
      </c>
      <c r="C3" t="s">
        <v>344</v>
      </c>
      <c r="D3" t="str">
        <f>"PIECE"</f>
        <v>PIECE</v>
      </c>
      <c r="E3">
        <v>2</v>
      </c>
      <c r="F3" t="str">
        <f>"HAUFWERK"</f>
        <v>HAUFWERK</v>
      </c>
      <c r="G3" t="s">
        <v>446</v>
      </c>
      <c r="H3" s="13" t="s">
        <v>448</v>
      </c>
      <c r="I3" t="s">
        <v>446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445</v>
      </c>
      <c r="N3" t="s">
        <v>449</v>
      </c>
      <c r="O3" s="13" t="s">
        <v>450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M20"/>
  <sheetViews>
    <sheetView workbookViewId="0">
      <selection activeCell="M28" sqref="M28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0.42578125" hidden="1" customWidth="1"/>
    <col min="4" max="4" width="12" bestFit="1" customWidth="1"/>
    <col min="5" max="5" width="17.28515625" customWidth="1"/>
    <col min="6" max="6" width="18.7109375" customWidth="1"/>
    <col min="7" max="7" width="21.140625" bestFit="1" customWidth="1"/>
    <col min="8" max="8" width="18.140625" customWidth="1"/>
    <col min="9" max="9" width="27.42578125" customWidth="1"/>
    <col min="10" max="10" width="20" customWidth="1"/>
    <col min="11" max="11" width="17.140625" customWidth="1"/>
    <col min="12" max="12" width="19.42578125" customWidth="1"/>
    <col min="13" max="13" width="22.28515625" customWidth="1"/>
  </cols>
  <sheetData>
    <row r="1" spans="1:13" x14ac:dyDescent="0.25">
      <c r="A1" s="29" t="s">
        <v>474</v>
      </c>
      <c r="B1" s="14" t="s">
        <v>7</v>
      </c>
      <c r="C1" s="14" t="s">
        <v>459</v>
      </c>
      <c r="D1" s="14" t="s">
        <v>8</v>
      </c>
      <c r="E1" s="15" t="s">
        <v>9</v>
      </c>
      <c r="F1" s="14" t="s">
        <v>12</v>
      </c>
      <c r="G1" s="14" t="s">
        <v>46</v>
      </c>
      <c r="H1" s="14" t="s">
        <v>47</v>
      </c>
      <c r="I1" s="14" t="s">
        <v>48</v>
      </c>
      <c r="J1" s="14" t="s">
        <v>304</v>
      </c>
      <c r="K1" s="14" t="s">
        <v>49</v>
      </c>
      <c r="L1" s="14" t="s">
        <v>50</v>
      </c>
      <c r="M1" s="14" t="s">
        <v>51</v>
      </c>
    </row>
    <row r="2" spans="1:13" x14ac:dyDescent="0.25">
      <c r="A2" t="str">
        <f>"GEB "&amp;ROW()-1</f>
        <v>GEB 1</v>
      </c>
      <c r="B2" t="s">
        <v>447</v>
      </c>
      <c r="C2" t="str">
        <f>"BUILDING"</f>
        <v>BUILDING</v>
      </c>
      <c r="D2">
        <v>0</v>
      </c>
      <c r="E2" s="11"/>
    </row>
    <row r="3" spans="1:13" x14ac:dyDescent="0.25">
      <c r="A3" t="str">
        <f>"GEB "&amp;ROW()-1</f>
        <v>GEB 2</v>
      </c>
      <c r="B3" t="s">
        <v>2</v>
      </c>
      <c r="C3" t="str">
        <f>"BUILDING"</f>
        <v>BUILDING</v>
      </c>
      <c r="D3">
        <v>1</v>
      </c>
      <c r="E3" s="11">
        <v>44165</v>
      </c>
      <c r="F3" t="s">
        <v>354</v>
      </c>
      <c r="G3" t="s">
        <v>300</v>
      </c>
      <c r="I3" t="s">
        <v>355</v>
      </c>
      <c r="J3" t="s">
        <v>354</v>
      </c>
      <c r="K3" t="s">
        <v>356</v>
      </c>
      <c r="M3" t="s">
        <v>411</v>
      </c>
    </row>
    <row r="4" spans="1:13" x14ac:dyDescent="0.25">
      <c r="E4" s="11"/>
    </row>
    <row r="5" spans="1:13" x14ac:dyDescent="0.25">
      <c r="E5" s="11"/>
    </row>
    <row r="6" spans="1:13" x14ac:dyDescent="0.25">
      <c r="E6" s="11"/>
    </row>
    <row r="7" spans="1:13" x14ac:dyDescent="0.25">
      <c r="E7" s="11"/>
    </row>
    <row r="8" spans="1:13" x14ac:dyDescent="0.25">
      <c r="E8" s="11"/>
    </row>
    <row r="9" spans="1:13" x14ac:dyDescent="0.25">
      <c r="E9" s="11"/>
    </row>
    <row r="10" spans="1:13" x14ac:dyDescent="0.25">
      <c r="E10" s="11"/>
    </row>
    <row r="11" spans="1:13" x14ac:dyDescent="0.25">
      <c r="E11" s="11"/>
    </row>
    <row r="12" spans="1:13" x14ac:dyDescent="0.25">
      <c r="E12" s="11"/>
    </row>
    <row r="13" spans="1:13" x14ac:dyDescent="0.25">
      <c r="E13" s="11"/>
    </row>
    <row r="14" spans="1:13" x14ac:dyDescent="0.25">
      <c r="E14" s="11"/>
    </row>
    <row r="15" spans="1:13" x14ac:dyDescent="0.25">
      <c r="E15" s="11"/>
    </row>
    <row r="16" spans="1:13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</sheetData>
  <dataValidations count="12">
    <dataValidation allowBlank="1" showInputMessage="1" sqref="M1 H1 K1" xr:uid="{2D725EF5-1D40-4DDD-998A-BAD453A70FE1}"/>
    <dataValidation errorStyle="information" allowBlank="1" showInputMessage="1" sqref="F1:G1" xr:uid="{57E1D220-ACC5-49E2-A1E1-7639A34D542F}"/>
    <dataValidation type="list" allowBlank="1" showInputMessage="1" sqref="M13:M1048576" xr:uid="{8CDCC3CC-8229-4BFD-8817-7A9A8D721E9D}">
      <formula1>ENTNAHME_AUSWAHL</formula1>
    </dataValidation>
    <dataValidation type="list" errorStyle="information" allowBlank="1" showInputMessage="1" sqref="F13:F1048576" xr:uid="{4C14746D-B56B-48AD-917E-4755FBBF5E40}">
      <formula1>GEBAUDE_BAUTEIL_AUSWAHL</formula1>
    </dataValidation>
    <dataValidation type="list" errorStyle="information" allowBlank="1" showInputMessage="1" sqref="G13:G1048576" xr:uid="{2E1B5F08-DC20-4E81-975A-BE01EA3F3CFD}">
      <formula1>GEBAUDE_CHARAKTER_AUSWAHL</formula1>
    </dataValidation>
    <dataValidation type="list" allowBlank="1" showInputMessage="1" sqref="H13:H1048576" xr:uid="{32892F23-B6B8-4D8B-9360-D2764F4A32C0}">
      <formula1>GEBAUDE_GERUCH_AUSWAHL</formula1>
    </dataValidation>
    <dataValidation type="list" allowBlank="1" showInputMessage="1" sqref="K13:K1048576" xr:uid="{915EE2A1-55E0-4768-84A3-03ABEC565053}">
      <formula1>ETAGEN_AUSWAHL</formula1>
    </dataValidation>
    <dataValidation type="list" allowBlank="1" showInputMessage="1" showErrorMessage="1" sqref="M3:M12" xr:uid="{D22D0BD7-C6FC-4E8C-8CED-77F2D9EDEF9D}">
      <formula1>ENTNAHME_AUSWAHL</formula1>
    </dataValidation>
    <dataValidation type="list" allowBlank="1" showInputMessage="1" showErrorMessage="1" sqref="K3:K12" xr:uid="{F2ACDFCA-3B40-46C0-BCC3-2474FBA54753}">
      <formula1>ETAGEN_AUSWAHL</formula1>
    </dataValidation>
    <dataValidation type="list" allowBlank="1" showInputMessage="1" showErrorMessage="1" sqref="H3:H12" xr:uid="{8CE29388-AFC8-42B9-ADB4-8138C8390CE8}">
      <formula1>GEBAUDE_GERUCH_AUSWAHL</formula1>
    </dataValidation>
    <dataValidation type="list" allowBlank="1" showInputMessage="1" showErrorMessage="1" sqref="G3:G12" xr:uid="{A74925F9-6FC3-4F89-A933-0CB5DF70FBB6}">
      <formula1>GEBAUDE_CHARAKTER_AUSWAHL</formula1>
    </dataValidation>
    <dataValidation type="list" allowBlank="1" showInputMessage="1" showErrorMessage="1" sqref="F3:F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M28" sqref="M28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459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435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>"SB"&amp;ROW()-1</f>
        <v>SB1</v>
      </c>
      <c r="B2" t="s">
        <v>447</v>
      </c>
      <c r="D2" t="str">
        <f>"LAYER"</f>
        <v>LAYER</v>
      </c>
      <c r="E2">
        <v>1</v>
      </c>
      <c r="F2" t="str">
        <f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>"SB"&amp;ROW()-1</f>
        <v>SB2</v>
      </c>
      <c r="B3" t="s">
        <v>2</v>
      </c>
      <c r="C3" t="s">
        <v>344</v>
      </c>
      <c r="D3" t="str">
        <f>"LAYER"</f>
        <v>LAYER</v>
      </c>
      <c r="E3">
        <v>1</v>
      </c>
      <c r="F3" t="str">
        <f>"GEBAEUDE"</f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389</v>
      </c>
      <c r="Z1" s="8" t="s">
        <v>390</v>
      </c>
      <c r="AA1" s="8" t="s">
        <v>386</v>
      </c>
      <c r="AB1" s="8" t="s">
        <v>379</v>
      </c>
      <c r="AC1" s="8" t="s">
        <v>391</v>
      </c>
      <c r="AD1" s="23" t="s">
        <v>392</v>
      </c>
      <c r="AE1" s="8" t="s">
        <v>106</v>
      </c>
      <c r="AF1" s="8" t="s">
        <v>176</v>
      </c>
      <c r="AG1" s="8" t="s">
        <v>404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359</v>
      </c>
      <c r="Z2" t="s">
        <v>300</v>
      </c>
      <c r="AA2" t="s">
        <v>375</v>
      </c>
      <c r="AB2" t="s">
        <v>380</v>
      </c>
      <c r="AC2" t="s">
        <v>410</v>
      </c>
      <c r="AD2" s="13" t="s">
        <v>367</v>
      </c>
      <c r="AE2" t="s">
        <v>5</v>
      </c>
      <c r="AF2" t="s">
        <v>225</v>
      </c>
      <c r="AG2" t="s">
        <v>405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362</v>
      </c>
      <c r="Z3" t="s">
        <v>358</v>
      </c>
      <c r="AA3" t="s">
        <v>376</v>
      </c>
      <c r="AB3" t="s">
        <v>381</v>
      </c>
      <c r="AC3" t="s">
        <v>411</v>
      </c>
      <c r="AD3" s="13" t="s">
        <v>401</v>
      </c>
      <c r="AE3" t="s">
        <v>240</v>
      </c>
      <c r="AF3" t="s">
        <v>243</v>
      </c>
      <c r="AG3" t="s">
        <v>406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409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361</v>
      </c>
      <c r="Z4" t="s">
        <v>374</v>
      </c>
      <c r="AA4" t="s">
        <v>377</v>
      </c>
      <c r="AB4" t="s">
        <v>360</v>
      </c>
      <c r="AC4" t="s">
        <v>412</v>
      </c>
      <c r="AD4" s="13" t="s">
        <v>368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434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369</v>
      </c>
      <c r="Z5" t="s">
        <v>357</v>
      </c>
      <c r="AA5" t="s">
        <v>378</v>
      </c>
      <c r="AB5" t="s">
        <v>382</v>
      </c>
      <c r="AC5" t="s">
        <v>413</v>
      </c>
      <c r="AD5" s="13" t="s">
        <v>402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370</v>
      </c>
      <c r="AB6" t="s">
        <v>356</v>
      </c>
      <c r="AC6" t="s">
        <v>426</v>
      </c>
      <c r="AD6" s="13" t="s">
        <v>403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354</v>
      </c>
      <c r="AB7" t="s">
        <v>383</v>
      </c>
      <c r="AC7" t="s">
        <v>427</v>
      </c>
      <c r="AD7" s="13" t="s">
        <v>394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371</v>
      </c>
      <c r="AB8" t="s">
        <v>384</v>
      </c>
      <c r="AC8" t="s">
        <v>428</v>
      </c>
      <c r="AD8" s="13" t="s">
        <v>363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372</v>
      </c>
      <c r="AB9" t="s">
        <v>385</v>
      </c>
      <c r="AC9" t="s">
        <v>429</v>
      </c>
      <c r="AD9" s="13" t="s">
        <v>395</v>
      </c>
    </row>
    <row r="10" spans="1:33" x14ac:dyDescent="0.25">
      <c r="A10" t="s">
        <v>299</v>
      </c>
      <c r="E10" t="s">
        <v>300</v>
      </c>
      <c r="W10" t="s">
        <v>249</v>
      </c>
      <c r="Y10" t="s">
        <v>373</v>
      </c>
      <c r="AB10" t="s">
        <v>387</v>
      </c>
      <c r="AC10" t="s">
        <v>414</v>
      </c>
      <c r="AD10" s="13" t="s">
        <v>396</v>
      </c>
    </row>
    <row r="11" spans="1:33" x14ac:dyDescent="0.25">
      <c r="A11" s="7" t="s">
        <v>302</v>
      </c>
      <c r="AB11" t="s">
        <v>388</v>
      </c>
      <c r="AC11" t="s">
        <v>415</v>
      </c>
      <c r="AD11" s="13" t="s">
        <v>364</v>
      </c>
    </row>
    <row r="12" spans="1:33" x14ac:dyDescent="0.25">
      <c r="AC12" t="s">
        <v>416</v>
      </c>
      <c r="AD12" s="13" t="s">
        <v>397</v>
      </c>
    </row>
    <row r="13" spans="1:33" x14ac:dyDescent="0.25">
      <c r="AC13" t="s">
        <v>417</v>
      </c>
      <c r="AD13" s="13" t="s">
        <v>398</v>
      </c>
    </row>
    <row r="14" spans="1:33" x14ac:dyDescent="0.25">
      <c r="AC14" t="s">
        <v>418</v>
      </c>
      <c r="AD14" s="13" t="s">
        <v>399</v>
      </c>
    </row>
    <row r="15" spans="1:33" x14ac:dyDescent="0.25">
      <c r="AC15" t="s">
        <v>419</v>
      </c>
      <c r="AD15" s="13" t="s">
        <v>400</v>
      </c>
    </row>
    <row r="16" spans="1:33" x14ac:dyDescent="0.25">
      <c r="AC16" t="s">
        <v>420</v>
      </c>
      <c r="AD16" s="13" t="s">
        <v>365</v>
      </c>
    </row>
    <row r="17" spans="29:30" x14ac:dyDescent="0.25">
      <c r="AC17" t="s">
        <v>421</v>
      </c>
      <c r="AD17" s="13" t="s">
        <v>393</v>
      </c>
    </row>
    <row r="18" spans="29:30" x14ac:dyDescent="0.25">
      <c r="AC18" t="s">
        <v>422</v>
      </c>
      <c r="AD18" s="13" t="s">
        <v>366</v>
      </c>
    </row>
    <row r="19" spans="29:30" x14ac:dyDescent="0.25">
      <c r="AC19" t="s">
        <v>423</v>
      </c>
    </row>
    <row r="20" spans="29:30" x14ac:dyDescent="0.25">
      <c r="AC20" t="s">
        <v>424</v>
      </c>
    </row>
    <row r="21" spans="29:30" x14ac:dyDescent="0.25">
      <c r="AC21" t="s">
        <v>425</v>
      </c>
    </row>
    <row r="22" spans="29:30" x14ac:dyDescent="0.25">
      <c r="AC22" t="s">
        <v>430</v>
      </c>
    </row>
    <row r="23" spans="29:30" x14ac:dyDescent="0.25">
      <c r="AC23" t="s">
        <v>431</v>
      </c>
    </row>
    <row r="24" spans="29:30" x14ac:dyDescent="0.25">
      <c r="AC24" t="s">
        <v>432</v>
      </c>
    </row>
    <row r="25" spans="29:30" x14ac:dyDescent="0.25">
      <c r="AC25" t="s">
        <v>433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Daten</vt:lpstr>
      <vt:lpstr>DatenGebaeude</vt:lpstr>
      <vt:lpstr>DatenHaufwerk</vt:lpstr>
      <vt:lpstr>DatenErkundungsstelle</vt:lpstr>
      <vt:lpstr>PivotTables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2021-11-22T13:57:43Z</dcterms:modified>
</cp:coreProperties>
</file>