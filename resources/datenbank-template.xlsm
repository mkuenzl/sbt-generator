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sbt-generator\resources\"/>
    </mc:Choice>
  </mc:AlternateContent>
  <xr:revisionPtr revIDLastSave="0" documentId="13_ncr:1_{4EC0311B-5D93-4A25-9038-8A1581A4DAD0}" xr6:coauthVersionLast="47" xr6:coauthVersionMax="47" xr10:uidLastSave="{00000000-0000-0000-0000-000000000000}"/>
  <bookViews>
    <workbookView xWindow="-120" yWindow="-120" windowWidth="29040" windowHeight="15840" tabRatio="914" xr2:uid="{1E01BCA3-435A-488D-9BFC-9A2205937763}"/>
  </bookViews>
  <sheets>
    <sheet name="Daten" sheetId="39" r:id="rId1"/>
    <sheet name="DatenGebaeude" sheetId="38" state="hidden" r:id="rId2"/>
    <sheet name="DatenHaufwerk" sheetId="37" state="hidden" r:id="rId3"/>
    <sheet name="DatenErkundungsstelle" sheetId="36" state="hidden" r:id="rId4"/>
    <sheet name="Überblick" sheetId="42" state="hidden" r:id="rId5"/>
    <sheet name="Probenzusammenstellung" sheetId="45" state="hidden" r:id="rId6"/>
    <sheet name="Chemie" sheetId="33" r:id="rId7"/>
    <sheet name="RuK" sheetId="17" r:id="rId8"/>
    <sheet name="LP" sheetId="18" r:id="rId9"/>
    <sheet name="Untersuchung ERK" sheetId="1" r:id="rId10"/>
    <sheet name="Probe ERK" sheetId="41" r:id="rId11"/>
    <sheet name="Untersuchung HAUF" sheetId="2" r:id="rId12"/>
    <sheet name="Probe HAUF" sheetId="10" r:id="rId13"/>
    <sheet name="Untersuchung GEB" sheetId="3" r:id="rId14"/>
    <sheet name="Probe GEB" sheetId="40" r:id="rId15"/>
    <sheet name="Auswahl Listen" sheetId="29" r:id="rId16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DatenErkundungsstelle!$A$1:$DF$11</definedName>
    <definedName name="ExternalData_2" localSheetId="2" hidden="1">DatenHaufwerk!$A$1:$BF$3</definedName>
    <definedName name="ExternalData_3" localSheetId="1" hidden="1">DatenGebaeude!$A$1:$BG$3</definedName>
    <definedName name="ExternalData_4" localSheetId="0" hidden="1">Daten!$A$1:$DY$15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GOB">'Auswahl Listen'!$A$2</definedName>
    <definedName name="gob_binderschicht">Probenzusammenstellung!$N$9</definedName>
    <definedName name="gob_deckschicht">Probenzusammenstellung!$N$8</definedName>
    <definedName name="gob_dritter_punkt">Probenzusammenstellung!$C$6</definedName>
    <definedName name="gob_erster_punkt">Probenzusammenstellung!$C$4</definedName>
    <definedName name="gob_korngroessenverteilung">Probenzusammenstellung!$N$13</definedName>
    <definedName name="gob_lp">Probenzusammenstellung!$N$11</definedName>
    <definedName name="gob_pechnachweis_halbqualitativ">Probenzusammenstellung!$N$5</definedName>
    <definedName name="gob_pechnachweis_qualitativ">Probenzusammenstellung!$N$4</definedName>
    <definedName name="gob_pechnachweis_quantitativ">Probenzusammenstellung!$N$6</definedName>
    <definedName name="gob_pechnachweis_text">Probenzusammenstellung!$K$5</definedName>
    <definedName name="gob_proben_anzahl">Probenzusammenstellung!$N$3</definedName>
    <definedName name="gob_ruk">Probenzusammenstellung!$N$7</definedName>
    <definedName name="gob_ruk_text">Probenzusammenstellung!$K$6</definedName>
    <definedName name="gob_schichtdicke">Probenzusammenstellung!$N$12</definedName>
    <definedName name="gob_schichtdicke_text">Probenzusammenstellung!$K$4</definedName>
    <definedName name="gob_tragschicht">Probenzusammenstellung!$N$10</definedName>
    <definedName name="gob_ueberschrift">Probenzusammenstellung!$B$2</definedName>
    <definedName name="gob_zweiter_punkt">Probenzusammenstellung!$C$5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proben_gob">Probenzusammenstellung!$N$3</definedName>
    <definedName name="PROBENART_ERK">'Auswahl Listen'!$AJ$2:$AJ$5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schichtdicke_gob">Probenzusammenstellung!$N$12</definedName>
    <definedName name="TL_GESTEIN_AUSWAHL">OFFSET('Auswahl Listen'!$L$2,0,0,COUNTA('Auswahl Listen'!$L:$L)-1)</definedName>
    <definedName name="tob_dritter_punkt">Probenzusammenstellung!$C$12</definedName>
    <definedName name="tob_erster_punkt">Probenzusammenstellung!$C$10</definedName>
    <definedName name="tob_korngroessenverteilung">Probenzusammenstellung!$O$13</definedName>
    <definedName name="tob_korngroessenverteilung_text">Probenzusammenstellung!$K$14</definedName>
    <definedName name="tob_lp">Probenzusammenstellung!$O$4</definedName>
    <definedName name="tob_lp_text">Probenzusammenstellung!$K$12</definedName>
    <definedName name="tob_proben_anzahl">Probenzusammenstellung!$O$3</definedName>
    <definedName name="tob_schichtdicke">Probenzusammenstellung!$O$12</definedName>
    <definedName name="tob_schichtdicke_text">Probenzusammenstellung!$K$13</definedName>
    <definedName name="tob_ueberschrift">Probenzusammenstellung!$B$8</definedName>
    <definedName name="tob_zweiter_punkt">Probenzusammenstellung!$C$11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41" l="1"/>
  <c r="I6" i="41"/>
  <c r="I7" i="41"/>
  <c r="I8" i="41"/>
  <c r="I9" i="41"/>
  <c r="I10" i="41"/>
  <c r="I11" i="41"/>
  <c r="I12" i="41"/>
  <c r="A12" i="41"/>
  <c r="F12" i="41"/>
  <c r="Z12" i="41"/>
  <c r="AA12" i="41"/>
  <c r="A11" i="41"/>
  <c r="F11" i="41"/>
  <c r="Z11" i="41"/>
  <c r="AA11" i="41"/>
  <c r="A10" i="41"/>
  <c r="F10" i="41"/>
  <c r="Z10" i="41"/>
  <c r="AA10" i="41"/>
  <c r="A9" i="41"/>
  <c r="F9" i="41"/>
  <c r="Z9" i="41"/>
  <c r="AA9" i="41"/>
  <c r="A8" i="41"/>
  <c r="F8" i="41"/>
  <c r="Z8" i="41"/>
  <c r="AA8" i="41"/>
  <c r="A7" i="41"/>
  <c r="F7" i="41"/>
  <c r="Z7" i="41"/>
  <c r="AA7" i="41"/>
  <c r="A6" i="41"/>
  <c r="F6" i="41"/>
  <c r="Z6" i="41"/>
  <c r="AA6" i="41"/>
  <c r="O3" i="41"/>
  <c r="O10" i="41"/>
  <c r="O7" i="41"/>
  <c r="O8" i="41" s="1"/>
  <c r="O4" i="41"/>
  <c r="N10" i="41" l="1"/>
  <c r="N8" i="41"/>
  <c r="N7" i="41"/>
  <c r="O5" i="41"/>
  <c r="O9" i="41"/>
  <c r="O6" i="41"/>
  <c r="O11" i="41"/>
  <c r="N11" i="41" l="1"/>
  <c r="N9" i="41"/>
  <c r="Z3" i="41"/>
  <c r="Z4" i="41"/>
  <c r="Z5" i="41"/>
  <c r="K2" i="10"/>
  <c r="K3" i="10"/>
  <c r="O12" i="41"/>
  <c r="N12" i="41" l="1"/>
  <c r="F2" i="18"/>
  <c r="G2" i="18" s="1"/>
  <c r="H2" i="18" s="1"/>
  <c r="I2" i="18" s="1"/>
  <c r="A8" i="45"/>
  <c r="A2" i="45"/>
  <c r="B7" i="45"/>
  <c r="W2" i="45"/>
  <c r="W4" i="45" s="1"/>
  <c r="V2" i="45"/>
  <c r="V3" i="45" s="1"/>
  <c r="U2" i="45"/>
  <c r="U3" i="45" s="1"/>
  <c r="T2" i="45"/>
  <c r="T4" i="45" s="1"/>
  <c r="S2" i="45"/>
  <c r="S4" i="45" s="1"/>
  <c r="R2" i="45"/>
  <c r="R3" i="45" s="1"/>
  <c r="Q2" i="45"/>
  <c r="Q3" i="45" s="1"/>
  <c r="P2" i="45"/>
  <c r="P4" i="45" s="1"/>
  <c r="O2" i="45"/>
  <c r="O4" i="45" s="1"/>
  <c r="K12" i="45" s="1"/>
  <c r="N2" i="45"/>
  <c r="N5" i="45" s="1"/>
  <c r="A5" i="41"/>
  <c r="F5" i="41"/>
  <c r="I4" i="42"/>
  <c r="I5" i="42"/>
  <c r="I6" i="42"/>
  <c r="I7" i="42"/>
  <c r="I8" i="42"/>
  <c r="I9" i="42"/>
  <c r="I10" i="42"/>
  <c r="I11" i="42"/>
  <c r="I12" i="42"/>
  <c r="I3" i="42"/>
  <c r="B5" i="1"/>
  <c r="A3" i="17"/>
  <c r="B3" i="17"/>
  <c r="E3" i="17"/>
  <c r="B5" i="42"/>
  <c r="B4" i="42"/>
  <c r="B3" i="42"/>
  <c r="F13" i="42"/>
  <c r="F12" i="42"/>
  <c r="F11" i="42"/>
  <c r="F10" i="42"/>
  <c r="F9" i="42"/>
  <c r="F8" i="42"/>
  <c r="F7" i="42"/>
  <c r="F6" i="42"/>
  <c r="F5" i="42"/>
  <c r="F4" i="42"/>
  <c r="F3" i="42"/>
  <c r="E2" i="17"/>
  <c r="A3" i="33"/>
  <c r="A4" i="33"/>
  <c r="A5" i="33"/>
  <c r="O12" i="45" l="1"/>
  <c r="K13" i="45" s="1"/>
  <c r="N3" i="41"/>
  <c r="J2" i="18"/>
  <c r="N3" i="45"/>
  <c r="B2" i="45" s="1"/>
  <c r="N4" i="45"/>
  <c r="N6" i="45"/>
  <c r="Q7" i="45"/>
  <c r="U12" i="45"/>
  <c r="T10" i="45"/>
  <c r="U5" i="45"/>
  <c r="S6" i="45"/>
  <c r="W9" i="45"/>
  <c r="P10" i="45"/>
  <c r="Q12" i="45"/>
  <c r="W6" i="45"/>
  <c r="T5" i="45"/>
  <c r="P6" i="45"/>
  <c r="S9" i="45"/>
  <c r="T13" i="45"/>
  <c r="Q5" i="45"/>
  <c r="U7" i="45"/>
  <c r="O9" i="45"/>
  <c r="P13" i="45"/>
  <c r="V8" i="45"/>
  <c r="N13" i="45"/>
  <c r="P5" i="45"/>
  <c r="V6" i="45"/>
  <c r="R6" i="45"/>
  <c r="N7" i="45"/>
  <c r="T7" i="45"/>
  <c r="P7" i="45"/>
  <c r="U8" i="45"/>
  <c r="Q8" i="45"/>
  <c r="V9" i="45"/>
  <c r="R9" i="45"/>
  <c r="W10" i="45"/>
  <c r="S10" i="45"/>
  <c r="O10" i="45"/>
  <c r="U11" i="45"/>
  <c r="Q11" i="45"/>
  <c r="W13" i="45"/>
  <c r="S13" i="45"/>
  <c r="O13" i="45"/>
  <c r="K14" i="45" s="1"/>
  <c r="T12" i="45"/>
  <c r="P12" i="45"/>
  <c r="N9" i="45"/>
  <c r="R4" i="45"/>
  <c r="R8" i="45"/>
  <c r="V11" i="45"/>
  <c r="R11" i="45"/>
  <c r="W5" i="45"/>
  <c r="S5" i="45"/>
  <c r="O5" i="45"/>
  <c r="U6" i="45"/>
  <c r="Q6" i="45"/>
  <c r="W7" i="45"/>
  <c r="S7" i="45"/>
  <c r="O7" i="45"/>
  <c r="T8" i="45"/>
  <c r="P8" i="45"/>
  <c r="U9" i="45"/>
  <c r="Q9" i="45"/>
  <c r="V10" i="45"/>
  <c r="R10" i="45"/>
  <c r="N11" i="45"/>
  <c r="T11" i="45"/>
  <c r="P11" i="45"/>
  <c r="V13" i="45"/>
  <c r="R13" i="45"/>
  <c r="W12" i="45"/>
  <c r="S12" i="45"/>
  <c r="N12" i="45"/>
  <c r="K4" i="45" s="1"/>
  <c r="N10" i="45"/>
  <c r="V4" i="45"/>
  <c r="V5" i="45"/>
  <c r="R5" i="45"/>
  <c r="T6" i="45"/>
  <c r="O6" i="45"/>
  <c r="V7" i="45"/>
  <c r="R7" i="45"/>
  <c r="W8" i="45"/>
  <c r="S8" i="45"/>
  <c r="O8" i="45"/>
  <c r="T9" i="45"/>
  <c r="P9" i="45"/>
  <c r="U10" i="45"/>
  <c r="Q10" i="45"/>
  <c r="W11" i="45"/>
  <c r="S11" i="45"/>
  <c r="O11" i="45"/>
  <c r="U13" i="45"/>
  <c r="Q13" i="45"/>
  <c r="V12" i="45"/>
  <c r="R12" i="45"/>
  <c r="N8" i="45"/>
  <c r="W3" i="45"/>
  <c r="S3" i="45"/>
  <c r="O3" i="45"/>
  <c r="B8" i="45" s="1"/>
  <c r="C10" i="45" s="1"/>
  <c r="U4" i="45"/>
  <c r="Q4" i="45"/>
  <c r="T3" i="45"/>
  <c r="P3" i="45"/>
  <c r="B4" i="1"/>
  <c r="C11" i="45" l="1"/>
  <c r="C12" i="45" s="1"/>
  <c r="B12" i="45" s="1"/>
  <c r="N5" i="41"/>
  <c r="K5" i="45"/>
  <c r="K6" i="45"/>
  <c r="C4" i="45"/>
  <c r="D3" i="10"/>
  <c r="AA3" i="41"/>
  <c r="AA4" i="41"/>
  <c r="F4" i="41"/>
  <c r="A4" i="41"/>
  <c r="F3" i="41"/>
  <c r="A3" i="41"/>
  <c r="B2" i="18"/>
  <c r="A2" i="18"/>
  <c r="B2" i="17"/>
  <c r="A2" i="17"/>
  <c r="N6" i="41" l="1"/>
  <c r="C5" i="45"/>
  <c r="B5" i="45" s="1"/>
  <c r="B11" i="45"/>
  <c r="B10" i="45"/>
  <c r="B4" i="45"/>
  <c r="C4" i="42"/>
  <c r="C3" i="42"/>
  <c r="C5" i="42"/>
  <c r="A2" i="40"/>
  <c r="A3" i="40"/>
  <c r="F2" i="40"/>
  <c r="F3" i="40"/>
  <c r="D2" i="40"/>
  <c r="D3" i="40"/>
  <c r="D2" i="10"/>
  <c r="B3" i="1"/>
  <c r="B2" i="2"/>
  <c r="B2" i="3"/>
  <c r="B3" i="3"/>
  <c r="A3" i="10"/>
  <c r="F3" i="10"/>
  <c r="F2" i="10"/>
  <c r="A2" i="10"/>
  <c r="K3" i="40" a="1"/>
  <c r="K2" i="40" a="1"/>
  <c r="C6" i="45" l="1"/>
  <c r="B6" i="45" s="1"/>
  <c r="K2" i="18"/>
  <c r="N4" i="41"/>
  <c r="K3" i="40"/>
  <c r="J3" i="40" s="1"/>
  <c r="K2" i="40"/>
  <c r="J2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M3" authorId="0" shapeId="0" xr:uid="{91ED4E60-EE81-4483-9BF8-76619C2DE891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Proben genommen wurden.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4" authorId="0" shapeId="0" xr:uid="{A4BCCFFC-0210-40B5-AF97-834B9C426B26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 xml:space="preserve">Pechnachweis Qualitativ </t>
        </r>
        <r>
          <rPr>
            <sz val="9"/>
            <color indexed="81"/>
            <rFont val="Segoe UI"/>
            <family val="2"/>
          </rPr>
          <t xml:space="preserve">gefüllt ist.
</t>
        </r>
      </text>
    </comment>
    <comment ref="M5" authorId="0" shapeId="0" xr:uid="{22456354-D072-4CCB-8504-9651630CD3AA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Halbqualitativ</t>
        </r>
        <r>
          <rPr>
            <sz val="9"/>
            <color indexed="81"/>
            <rFont val="Segoe UI"/>
            <family val="2"/>
          </rPr>
          <t xml:space="preserve"> gefüllt ist.</t>
        </r>
      </text>
    </comment>
    <comment ref="M6" authorId="0" shapeId="0" xr:uid="{08240549-34F2-4081-ADBF-EC5F8C81C38D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Quantitativ gefüllt ist.</t>
        </r>
      </text>
    </comment>
    <comment ref="M7" authorId="0" shapeId="0" xr:uid="{4F3D34CF-0372-41E0-A7B8-53D50028F1C8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RUK ID gefüllt ist.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8" authorId="0" shapeId="0" xr:uid="{E84F374F-70B7-4DC0-98ED-3A10A18631A6}">
      <text>
        <r>
          <rPr>
            <sz val="9"/>
            <color indexed="81"/>
            <rFont val="Segoe UI"/>
            <family val="2"/>
          </rPr>
          <t xml:space="preserve">Zählt, wie oft für den speziellen Schicht-Aufschluss als </t>
        </r>
        <r>
          <rPr>
            <b/>
            <sz val="9"/>
            <color indexed="81"/>
            <rFont val="Segoe UI"/>
            <family val="2"/>
          </rPr>
          <t xml:space="preserve">Proben-Art "Deckschicht"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9" authorId="0" shapeId="0" xr:uid="{F50DA2BE-A3DA-4693-8BD0-5B503C3CD715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"Binderschicht"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10" authorId="0" shapeId="0" xr:uid="{0555BAFB-DD15-4832-BEA0-9587D27EFB93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"Tragschicht" </t>
        </r>
        <r>
          <rPr>
            <sz val="9"/>
            <color indexed="81"/>
            <rFont val="Segoe UI"/>
            <family val="2"/>
          </rPr>
          <t xml:space="preserve">angegeben wurde.
</t>
        </r>
      </text>
    </comment>
    <comment ref="M11" authorId="0" shapeId="0" xr:uid="{30D0CC13-144B-4979-BDD3-5F2BF541989D}">
      <text>
        <r>
          <rPr>
            <sz val="9"/>
            <color indexed="81"/>
            <rFont val="Segoe UI"/>
            <family val="2"/>
          </rPr>
          <t>Zählt, wie oft für den speziellen Schicht-Aufschluss</t>
        </r>
        <r>
          <rPr>
            <b/>
            <sz val="9"/>
            <color indexed="81"/>
            <rFont val="Segoe UI"/>
            <family val="2"/>
          </rPr>
          <t xml:space="preserve"> eine Lastplattendruck-ID angegeben wurde.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2" authorId="0" shapeId="0" xr:uid="{EDAF52D5-A766-46FF-8883-4A50A9B77219}">
      <text>
        <r>
          <rPr>
            <sz val="9"/>
            <color indexed="81"/>
            <rFont val="Segoe UI"/>
            <family val="2"/>
          </rPr>
          <t>Zählt, wie oft für den speziellen Schicht-Aufschluss d</t>
        </r>
        <r>
          <rPr>
            <b/>
            <sz val="9"/>
            <color indexed="81"/>
            <rFont val="Segoe UI"/>
            <family val="2"/>
          </rPr>
          <t>ie Proben Dicke ermittelt wurde.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3" authorId="0" shapeId="0" xr:uid="{5F3CD3F9-2866-472B-8941-8B7A8759198C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die Korngrößenverteilung gemessen wurde.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D2" authorId="0" shapeId="0" xr:uid="{F47D9442-5567-4D1C-868C-C239B796432D}">
      <text>
        <r>
          <rPr>
            <b/>
            <sz val="9"/>
            <color indexed="81"/>
            <rFont val="Segoe UI"/>
            <family val="2"/>
          </rPr>
          <t>Datum der  Untersuchung der Erkundungsstelle</t>
        </r>
      </text>
    </comment>
    <comment ref="E2" authorId="0" shapeId="0" xr:uid="{3D7A1B7C-DFBE-4364-AFFF-CE17A807B7B7}">
      <text>
        <r>
          <rPr>
            <b/>
            <sz val="9"/>
            <color indexed="81"/>
            <rFont val="Segoe UI"/>
            <family val="2"/>
          </rPr>
          <t>Zuständiger Prüfer der Erkundungsstelle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I2" authorId="0" shapeId="0" xr:uid="{53D94228-4344-48B5-8CAD-428B9FB23F16}">
      <text>
        <r>
          <rPr>
            <b/>
            <sz val="9"/>
            <color indexed="81"/>
            <rFont val="Segoe UI"/>
            <family val="2"/>
          </rPr>
          <t>Ergibt sich aus dem Aufschluss automatisch:
Bei GOB wird angenommen, dass es eine EP ist und bei allem anderen, dass es MP ist.
Lässt sich über das Dropdown korrigieren, falls notwendig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M2" authorId="0" shapeId="0" xr:uid="{D736EE26-4AA4-49E5-A521-2432118827D6}">
      <text>
        <r>
          <rPr>
            <b/>
            <sz val="9"/>
            <color indexed="81"/>
            <rFont val="Segoe UI"/>
            <family val="2"/>
          </rPr>
          <t>Dicke der Schicht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N2" authorId="0" shapeId="0" xr:uid="{C1D10297-D8AA-48A5-A481-B805D292702C}">
      <text>
        <r>
          <rPr>
            <b/>
            <sz val="9"/>
            <color indexed="81"/>
            <rFont val="Segoe UI"/>
            <charset val="1"/>
          </rPr>
          <t xml:space="preserve">Berechnet sich automatisch:
TIEFE_ENDE - DICKE
</t>
        </r>
      </text>
    </comment>
    <comment ref="O2" authorId="0" shapeId="0" xr:uid="{EE43E4F4-41B7-47EA-B0FE-AC9DE51024A5}">
      <text>
        <r>
          <rPr>
            <b/>
            <sz val="9"/>
            <color indexed="81"/>
            <rFont val="Segoe UI"/>
            <family val="2"/>
          </rPr>
          <t>Berechnet sich automatisch:
Wenn die Vorgängerzeile die gleiche PROBE.ID hat, wird TIEFE_ENDE der Vorgängerzeile auf die aktuelle Dicke addiert.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015683-7CF3-49AB-9995-81CC342D683D}" keepAlive="1" name="Abfrage - Combined:Data:Table (2)" description="Verbindung mit der Abfrage 'Combined:Data:Table (2)' in der Arbeitsmappe." type="5" refreshedVersion="0" background="1">
    <dbPr connection="Provider=Microsoft.Mashup.OleDb.1;Data Source=$Workbook$;Location=&quot;Combined:Data:Table (2)&quot;;Extended Properties=&quot;&quot;" command="SELECT * FROM [Combined:Data:Table (2)]"/>
  </connection>
  <connection id="2" xr16:uid="{0EAF9E6D-5700-4DB4-ABF4-6CB15D8C96CA}" keepAlive="1" name="Abfrage - PreviousGOBCluster" description="Verbindung mit der Abfrage 'PreviousGOBCluster' in der Arbeitsmappe." type="5" refreshedVersion="0" background="1">
    <dbPr connection="Provider=Microsoft.Mashup.OleDb.1;Data Source=$Workbook$;Location=PreviousGOBCluster;Extended Properties=&quot;&quot;" command="SELECT * FROM [PreviousGOBCluster]"/>
  </connection>
  <connection id="3" xr16:uid="{BDA21B26-6681-4FF8-B3CC-77DFA8C6F74E}" keepAlive="1" name="Abfrage - SampleNumberFunction" description="Verbindung mit der Abfrage 'SampleNumberFunction' in der Arbeitsmappe." type="5" refreshedVersion="0" background="1">
    <dbPr connection="Provider=Microsoft.Mashup.OleDb.1;Data Source=$Workbook$;Location=SampleNumberFunction;Extended Properties=&quot;&quot;" command="SELECT * FROM [SampleNumberFunction]"/>
  </connection>
  <connection id="4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5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6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7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8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9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10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11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12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3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4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5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6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<sst xmlns="http://schemas.openxmlformats.org/spreadsheetml/2006/main" count="1925" uniqueCount="698">
  <si>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</si>
  <si>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</si>
  <si>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</si>
  <si>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</si>
  <si>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</si>
  <si>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</si>
  <si>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</si>
  <si>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</si>
  <si>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</si>
  <si>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</si>
  <si>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</si>
  <si>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</si>
  <si>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</si>
  <si>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</si>
  <si>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</si>
  <si>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</si>
  <si>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</si>
  <si>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</si>
  <si>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</si>
  <si>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</si>
  <si>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</si>
  <si>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</si>
  <si>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</si>
  <si>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</si>
  <si>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</si>
  <si>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</si>
  <si>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</si>
  <si>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</si>
  <si>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</si>
  <si>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</si>
  <si>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</si>
  <si>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</si>
  <si>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</si>
  <si>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</si>
  <si>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</si>
  <si>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</si>
  <si>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</si>
  <si>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</si>
  <si>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</si>
  <si>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</si>
  <si>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</si>
  <si>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</si>
  <si>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</si>
  <si>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</si>
  <si>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</si>
  <si>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</si>
  <si>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</si>
  <si>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</si>
  <si>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</si>
  <si>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</si>
  <si>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</si>
  <si>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</si>
  <si>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</si>
  <si>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</si>
  <si>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</si>
  <si>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</si>
  <si>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</si>
  <si>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</si>
  <si>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</si>
  <si>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</si>
  <si>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</si>
  <si>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</si>
  <si>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</si>
  <si>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</si>
  <si>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</si>
  <si>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</si>
  <si>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</si>
  <si>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</si>
  <si>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</si>
  <si>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</si>
  <si>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</si>
  <si>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</si>
  <si>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</si>
  <si>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</si>
  <si>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</si>
  <si>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</si>
  <si>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</si>
  <si>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</si>
  <si>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</si>
  <si>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</si>
  <si>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</si>
  <si>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</si>
  <si>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</si>
  <si>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</si>
  <si>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</si>
  <si>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</si>
  <si>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</si>
  <si>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</si>
  <si>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</si>
  <si>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</si>
  <si>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</si>
  <si>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</si>
  <si>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</si>
  <si>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</si>
  <si>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</si>
  <si>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</si>
  <si>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</si>
  <si>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</si>
  <si>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</si>
  <si>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</si>
  <si>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</si>
  <si>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</si>
  <si>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</si>
  <si>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</si>
  <si>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</si>
  <si>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</si>
  <si>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</si>
  <si>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</si>
  <si>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</si>
  <si>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</si>
  <si>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</si>
  <si>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</si>
  <si>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</si>
  <si>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</si>
  <si>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</si>
  <si>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</si>
  <si>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</si>
  <si>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</si>
  <si>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</si>
  <si>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</si>
  <si>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</si>
  <si>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</si>
  <si>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</si>
  <si>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</si>
  <si>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</si>
  <si>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</si>
  <si>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</si>
  <si>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</si>
  <si>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</si>
  <si>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</si>
  <si>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</si>
  <si>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</si>
  <si>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</si>
  <si>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</si>
  <si>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</si>
  <si>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</si>
  <si>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</si>
  <si>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</si>
  <si>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</si>
  <si>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</si>
  <si>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</si>
  <si>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</si>
  <si>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</si>
  <si>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</si>
  <si>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</si>
  <si>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</si>
  <si>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</si>
  <si>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</si>
  <si>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</si>
  <si>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</si>
  <si>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</si>
  <si>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</si>
  <si>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</si>
  <si>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</si>
  <si>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</si>
  <si>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</si>
  <si>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</si>
  <si>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</si>
  <si>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</si>
  <si>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</si>
  <si>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</si>
  <si>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</si>
  <si>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</si>
  <si>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</si>
  <si>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</si>
  <si>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</si>
  <si>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</si>
  <si>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</si>
  <si>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</si>
  <si>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</si>
  <si>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</si>
  <si>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</si>
  <si>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</si>
  <si>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</si>
  <si>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</si>
  <si>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</si>
  <si>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</si>
  <si>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</si>
  <si>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</si>
  <si>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</si>
  <si>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</si>
  <si>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</si>
  <si>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</si>
  <si>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</si>
  <si>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</si>
  <si>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</si>
  <si>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</si>
  <si>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</si>
  <si>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</si>
  <si>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</si>
  <si>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</si>
  <si>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</si>
  <si>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</si>
  <si>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</si>
  <si>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</si>
  <si>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</si>
  <si>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</si>
  <si>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</si>
  <si>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</si>
  <si>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</si>
  <si>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</si>
  <si>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</si>
  <si>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</si>
  <si>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</si>
  <si>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</si>
  <si>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</si>
  <si>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</si>
  <si>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</si>
  <si>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</si>
  <si>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</si>
  <si>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</si>
  <si>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</si>
  <si>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</si>
  <si>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</si>
  <si>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</si>
  <si>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</si>
  <si>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</si>
  <si>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</si>
  <si>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</si>
  <si>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</si>
  <si>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</si>
  <si>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</si>
  <si>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</si>
  <si>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</si>
  <si>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</si>
  <si>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</si>
  <si>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</si>
  <si>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</si>
  <si>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</si>
  <si>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</si>
  <si>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</si>
  <si>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</si>
  <si>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</si>
  <si>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</si>
  <si>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</si>
  <si>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</si>
  <si>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</si>
  <si>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</si>
  <si>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</si>
  <si>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</si>
  <si>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</si>
  <si>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</si>
  <si>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</si>
  <si>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</si>
  <si>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</si>
  <si>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</si>
  <si>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</si>
  <si>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</si>
  <si>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</si>
  <si>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</si>
  <si>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</si>
  <si>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</si>
  <si>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</si>
  <si>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</si>
  <si>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</si>
  <si>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</si>
  <si>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</si>
  <si>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</si>
  <si>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</si>
  <si>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</si>
  <si>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</si>
  <si>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</si>
  <si>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</si>
  <si>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</si>
  <si>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</si>
  <si>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</si>
  <si>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</si>
  <si>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</si>
  <si>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</si>
  <si>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</si>
  <si>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</si>
  <si>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</si>
  <si>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</si>
  <si>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</si>
  <si>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</si>
  <si>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</si>
  <si>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</si>
  <si>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</si>
  <si>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</si>
  <si>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</si>
  <si>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</si>
  <si>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</si>
  <si>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</si>
  <si>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</si>
  <si>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</si>
  <si>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</si>
  <si>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</si>
  <si>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</si>
  <si>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</si>
  <si>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</si>
  <si>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</si>
  <si>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</si>
  <si>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</si>
  <si>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</si>
  <si>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</si>
  <si>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</si>
  <si>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</si>
  <si>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</si>
  <si>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</si>
  <si>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</si>
  <si>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</si>
  <si>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</si>
  <si>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</si>
  <si>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</si>
  <si>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</si>
  <si>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</si>
  <si>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</si>
  <si>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</si>
  <si>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</si>
  <si>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</si>
  <si>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</si>
  <si>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</si>
  <si>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</si>
  <si>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</si>
  <si>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</si>
  <si>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</si>
  <si>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</si>
  <si>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</si>
  <si>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</si>
  <si>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</si>
  <si>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</si>
  <si>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</si>
  <si>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</si>
  <si>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</si>
  <si>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</si>
  <si>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</si>
  <si>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</si>
  <si>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</si>
  <si>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</si>
  <si>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</si>
  <si>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</si>
  <si>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</si>
  <si>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</si>
  <si>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</si>
  <si>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</si>
  <si>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</si>
  <si>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</si>
  <si>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</si>
  <si>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</si>
  <si>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</si>
  <si>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</si>
  <si>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</si>
  <si>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</si>
  <si>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</si>
  <si>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</si>
  <si>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</si>
  <si>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</si>
  <si>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</si>
  <si>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</si>
  <si>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</si>
  <si>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</si>
  <si>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</si>
  <si>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</si>
  <si>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</si>
  <si>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</si>
  <si>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</si>
  <si>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</si>
  <si>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</si>
  <si>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</si>
  <si>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</si>
  <si>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</si>
  <si>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</si>
  <si>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</si>
  <si>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</si>
  <si>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</si>
  <si>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</si>
  <si>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</si>
  <si>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</si>
  <si>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</si>
  <si>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</si>
  <si>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</si>
  <si>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</si>
  <si>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</si>
  <si>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</si>
  <si>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</si>
  <si>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</si>
  <si>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</si>
  <si>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</si>
  <si>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</si>
  <si>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</si>
  <si>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</si>
  <si>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</si>
  <si>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</si>
  <si>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</si>
  <si>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</si>
  <si>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</si>
  <si>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</si>
  <si>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</si>
  <si>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</si>
  <si>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</si>
  <si>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</si>
  <si>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</si>
  <si>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</si>
  <si>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</si>
  <si>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</si>
  <si>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</si>
  <si>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</si>
  <si>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</si>
  <si>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</si>
  <si>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</si>
  <si>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</si>
  <si>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</si>
  <si>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</si>
  <si>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</si>
  <si>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</si>
  <si>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</si>
  <si>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</si>
  <si>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</si>
  <si>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</si>
  <si>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</si>
  <si>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</si>
  <si>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</si>
  <si>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</si>
  <si>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</si>
  <si>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</si>
  <si>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</si>
  <si>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</si>
  <si>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</si>
  <si>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</si>
  <si>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</si>
  <si>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</si>
  <si>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</si>
  <si>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</si>
  <si>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</si>
  <si>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</si>
  <si>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</si>
  <si>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</si>
  <si>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</si>
  <si>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</si>
  <si>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</si>
  <si>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</si>
  <si>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</si>
  <si>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</si>
  <si>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</si>
  <si>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</si>
  <si>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</si>
  <si>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</si>
  <si>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</si>
  <si>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</si>
  <si>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</si>
  <si>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</si>
  <si>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</si>
  <si>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</si>
  <si>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</si>
  <si>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</si>
  <si>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</si>
  <si>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</si>
  <si>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</si>
  <si>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</si>
  <si>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</si>
  <si>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</si>
  <si>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</si>
  <si>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</si>
  <si>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</si>
  <si>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</si>
  <si>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</si>
  <si>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</si>
  <si>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</si>
  <si>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</si>
  <si>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</si>
  <si>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</si>
  <si>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</si>
  <si>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</si>
  <si>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</si>
  <si>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</si>
  <si>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</si>
  <si>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</si>
  <si>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</si>
  <si>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</si>
  <si>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</si>
  <si>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</si>
  <si>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</si>
  <si>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</si>
  <si>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</si>
  <si>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</si>
  <si>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</si>
  <si>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</si>
  <si>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</si>
  <si>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</si>
  <si>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</si>
  <si>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</si>
  <si>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</si>
  <si>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</si>
  <si>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</si>
  <si>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</si>
  <si>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</si>
  <si>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</si>
  <si>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</si>
  <si>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</si>
  <si>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</si>
  <si>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</si>
  <si>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</si>
  <si>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</si>
  <si>
    <t>LP</t>
  </si>
  <si>
    <t>Untersuchung</t>
  </si>
  <si>
    <t>Erkundung</t>
  </si>
  <si>
    <t>Versuche</t>
  </si>
  <si>
    <t>min</t>
  </si>
  <si>
    <t>max</t>
  </si>
  <si>
    <t>Aufschluss</t>
  </si>
  <si>
    <t>Statistik</t>
  </si>
  <si>
    <t>mittel</t>
  </si>
  <si>
    <t>RuK</t>
  </si>
  <si>
    <t>DK 0</t>
  </si>
  <si>
    <t>BM-0</t>
  </si>
  <si>
    <t>BM-0*</t>
  </si>
  <si>
    <t>BM-F2</t>
  </si>
  <si>
    <t>BM-F3</t>
  </si>
  <si>
    <t>&gt;BM-F3</t>
  </si>
  <si>
    <t>BG-0</t>
  </si>
  <si>
    <t>BG-0*</t>
  </si>
  <si>
    <t>BG-F0*</t>
  </si>
  <si>
    <t>BG-F1</t>
  </si>
  <si>
    <t>BG-F3</t>
  </si>
  <si>
    <t>BG-F2</t>
  </si>
  <si>
    <t>&gt;BG-F3</t>
  </si>
  <si>
    <t>BM-F0*</t>
  </si>
  <si>
    <t>FB5</t>
  </si>
  <si>
    <t>01.01.2021</t>
  </si>
  <si>
    <t>05.05.2021</t>
  </si>
  <si>
    <t>RC-1</t>
  </si>
  <si>
    <t>RC-2</t>
  </si>
  <si>
    <t>RC-3</t>
  </si>
  <si>
    <t>&gt;RC-3</t>
  </si>
  <si>
    <t>HOS-1</t>
  </si>
  <si>
    <t>GS-0</t>
  </si>
  <si>
    <t>GS-1</t>
  </si>
  <si>
    <t>GS-2</t>
  </si>
  <si>
    <t>GS-3</t>
  </si>
  <si>
    <t>HS</t>
  </si>
  <si>
    <t>SWS-1</t>
  </si>
  <si>
    <t>SWS-2</t>
  </si>
  <si>
    <t>GKOS</t>
  </si>
  <si>
    <t>CUM-1</t>
  </si>
  <si>
    <t>CUM-2</t>
  </si>
  <si>
    <t>GRS</t>
  </si>
  <si>
    <t>SKG</t>
  </si>
  <si>
    <t>SKA</t>
  </si>
  <si>
    <t>SFA</t>
  </si>
  <si>
    <t>BFA</t>
  </si>
  <si>
    <t>HMVA-1</t>
  </si>
  <si>
    <t>HMVA-2</t>
  </si>
  <si>
    <t>Probenahmen pro Aufschluss</t>
  </si>
  <si>
    <t>Schicht Aufschluss</t>
  </si>
  <si>
    <t>Anzahl</t>
  </si>
  <si>
    <t>Pechnachweis Qualitativ</t>
  </si>
  <si>
    <t>Pechnachweis Quantitativ</t>
  </si>
  <si>
    <t>Pechnachweis Halbqualitativ</t>
  </si>
  <si>
    <t>Anzahl Proben</t>
  </si>
  <si>
    <t>RUK-Untersuchungen</t>
  </si>
  <si>
    <t>Binderschicht</t>
  </si>
  <si>
    <t>Tragschicht</t>
  </si>
  <si>
    <t>SE4</t>
  </si>
  <si>
    <t/>
  </si>
  <si>
    <t>Plattendruckversuch</t>
  </si>
  <si>
    <t>Schichtdicke</t>
  </si>
  <si>
    <t>Korngrößenverteilung</t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</si>
  <si>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, Tab. II.1.2-1 </t>
    </r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</si>
  <si>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>, Tab. II.1.2-4 u. II.1.2-5</t>
    </r>
  </si>
  <si>
    <r>
      <t>Chemie –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>, Anhang 3, Tabelle 2, Spalte 5 – 8</t>
    </r>
  </si>
  <si>
    <r>
      <t>Chemie – EBV</t>
    </r>
    <r>
      <rPr>
        <vertAlign val="superscript"/>
        <sz val="11"/>
        <color theme="1"/>
        <rFont val="Arial"/>
        <family val="2"/>
      </rPr>
      <t>[50]</t>
    </r>
    <r>
      <rPr>
        <sz val="11"/>
        <color theme="1"/>
        <rFont val="Arial"/>
        <family val="2"/>
      </rPr>
      <t>, Anlage 1 Tabelle 3</t>
    </r>
  </si>
  <si>
    <t>-</t>
  </si>
  <si>
    <t>GOB Schichtdicke</t>
  </si>
  <si>
    <t>GOB Pechnachweis</t>
  </si>
  <si>
    <t>GOB RUK / Schichten</t>
  </si>
  <si>
    <t>TOB Plattendruckversuch</t>
  </si>
  <si>
    <t>TOB Schichtdicke</t>
  </si>
  <si>
    <t>TOB Korngrößenverteilung</t>
  </si>
  <si>
    <t>Generierte Textbausteine</t>
  </si>
  <si>
    <r>
      <t>Chemie – LAGA</t>
    </r>
    <r>
      <rPr>
        <vertAlign val="superscript"/>
        <sz val="11"/>
        <color theme="1"/>
        <rFont val="Arial"/>
        <family val="2"/>
      </rPr>
      <t>[28]</t>
    </r>
    <r>
      <rPr>
        <sz val="11"/>
        <color theme="1"/>
        <rFont val="Arial"/>
        <family val="2"/>
      </rPr>
      <t>, Tab. II. II.1.4-1, II.1.4-4 u. II.1.4-5</t>
    </r>
  </si>
  <si>
    <t>Untergrund / Unterbau:</t>
  </si>
  <si>
    <r>
      <t>Für die chemische Untersuchungsdurchführung nach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 und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 xml:space="preserve"> wurde die nachstehend aufgeführte Sammelprobe zusammengestellt bzw. die angegebene Mischprobe verwendet:</t>
    </r>
  </si>
  <si>
    <t>Aufzählungspunkte</t>
  </si>
  <si>
    <t>Pechnachweis</t>
  </si>
  <si>
    <t>Erweichungspunkt RuK</t>
  </si>
  <si>
    <t>Plattendruckversuch, dynamisch</t>
  </si>
  <si>
    <t>Index</t>
  </si>
  <si>
    <t>SAMPLE.NUMBER</t>
  </si>
  <si>
    <t>Calculated_Sample_Number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</si>
  <si>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</si>
  <si>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</si>
  <si>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</si>
  <si>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</si>
  <si>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</si>
  <si>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</si>
  <si>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</si>
  <si>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</si>
  <si>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</si>
  <si>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</si>
  <si>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SE5</t>
  </si>
  <si>
    <t>SE8</t>
  </si>
  <si>
    <t>SE7</t>
  </si>
  <si>
    <t>SE6</t>
  </si>
  <si>
    <t>Boden</t>
  </si>
  <si>
    <t>SE9</t>
  </si>
  <si>
    <t>SE11</t>
  </si>
  <si>
    <t>SE10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</si>
  <si>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</si>
  <si>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</si>
  <si>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</si>
  <si>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</si>
  <si>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</si>
  <si>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</si>
  <si>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</si>
  <si>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</si>
  <si>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</si>
  <si>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</si>
  <si>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</si>
  <si>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</si>
  <si>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x29</t>
  </si>
  <si>
    <t>x20</t>
  </si>
  <si>
    <t>x21</t>
  </si>
  <si>
    <t>x22</t>
  </si>
  <si>
    <t>x23</t>
  </si>
  <si>
    <t>x24</t>
  </si>
  <si>
    <t>x25</t>
  </si>
  <si>
    <t>x26</t>
  </si>
  <si>
    <t>x27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</si>
  <si>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</si>
  <si>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</si>
  <si>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</si>
  <si>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</si>
  <si>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</si>
  <si>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</si>
  <si>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</si>
  <si>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</si>
  <si>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</si>
  <si>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</si>
  <si>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</si>
  <si>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</si>
  <si>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</si>
  <si>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</si>
  <si>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</si>
  <si>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</si>
  <si>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</si>
  <si>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</si>
  <si>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</si>
  <si>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</si>
  <si>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</si>
  <si>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</si>
  <si>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</si>
  <si>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</si>
  <si>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</si>
  <si>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</si>
  <si>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</si>
  <si>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</si>
  <si>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x58</t>
  </si>
  <si>
    <t>x59</t>
  </si>
  <si>
    <t>x60</t>
  </si>
  <si>
    <t>x61</t>
  </si>
  <si>
    <t>x62</t>
  </si>
  <si>
    <t>x63</t>
  </si>
  <si>
    <t>x64</t>
  </si>
  <si>
    <t>x65</t>
  </si>
  <si>
    <t>x66</t>
  </si>
  <si>
    <t>x67</t>
  </si>
  <si>
    <t>x68</t>
  </si>
  <si>
    <t>x69</t>
  </si>
  <si>
    <t>x70</t>
  </si>
  <si>
    <t>x71</t>
  </si>
  <si>
    <t>x72</t>
  </si>
  <si>
    <t>x73</t>
  </si>
  <si>
    <t>x74</t>
  </si>
  <si>
    <t>x75</t>
  </si>
  <si>
    <t>x76</t>
  </si>
  <si>
    <t>x77</t>
  </si>
  <si>
    <t>x78</t>
  </si>
  <si>
    <t>x79</t>
  </si>
  <si>
    <t>x80</t>
  </si>
  <si>
    <t>x81</t>
  </si>
  <si>
    <t>x82</t>
  </si>
  <si>
    <t>x83</t>
  </si>
  <si>
    <t>x84</t>
  </si>
  <si>
    <t>x85</t>
  </si>
  <si>
    <t>x86</t>
  </si>
  <si>
    <t>x87</t>
  </si>
  <si>
    <t>x88</t>
  </si>
  <si>
    <t>x89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</si>
  <si>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</si>
  <si>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</si>
  <si>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</si>
  <si>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</si>
  <si>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</si>
  <si>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</si>
  <si>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</si>
  <si>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</si>
  <si>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</si>
  <si>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</si>
  <si>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x100</t>
  </si>
  <si>
    <t>Mischprobe</t>
  </si>
  <si>
    <t>PROBE_ERK_PROBENART</t>
  </si>
  <si>
    <t>SP</t>
  </si>
  <si>
    <t>MP</t>
  </si>
  <si>
    <t>EP</t>
  </si>
  <si>
    <t>SoP</t>
  </si>
  <si>
    <t>SAMPLE.PROBENART</t>
  </si>
  <si>
    <t>P11</t>
  </si>
  <si>
    <t>P12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</si>
</sst>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vertAlign val="superscript"/>
      <sz val="11"/>
      <color theme="1"/>
      <name val="Arial"/>
      <family val="2"/>
    </font>
    <font>
      <b/>
      <sz val="11"/>
      <color theme="0"/>
      <name val="Arial"/>
      <family val="2"/>
    </font>
    <font>
      <b/>
      <i/>
      <sz val="11"/>
      <color theme="1"/>
      <name val="Arial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0" fontId="3" fillId="4" borderId="2" xfId="0" applyFont="1" applyFill="1" applyBorder="1"/>
    <xf numFmtId="14" fontId="3" fillId="4" borderId="3" xfId="0" applyNumberFormat="1" applyFont="1" applyFill="1" applyBorder="1" applyAlignment="1">
      <alignment horizontal="left"/>
    </xf>
    <xf numFmtId="0" fontId="3" fillId="4" borderId="3" xfId="0" applyFont="1" applyFill="1" applyBorder="1"/>
    <xf numFmtId="49" fontId="3" fillId="4" borderId="3" xfId="0" applyNumberFormat="1" applyFont="1" applyFill="1" applyBorder="1"/>
    <xf numFmtId="166" fontId="0" fillId="0" borderId="0" xfId="0" applyNumberFormat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5" borderId="0" xfId="0" applyFont="1" applyFill="1" applyAlignment="1">
      <alignment vertical="center"/>
    </xf>
    <xf numFmtId="0" fontId="2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8" borderId="4" xfId="0" applyFont="1" applyFill="1" applyBorder="1" applyAlignment="1">
      <alignment horizontal="right" vertical="center"/>
    </xf>
    <xf numFmtId="0" fontId="0" fillId="0" borderId="4" xfId="0" applyBorder="1"/>
    <xf numFmtId="0" fontId="0" fillId="8" borderId="4" xfId="0" applyFill="1" applyBorder="1" applyAlignment="1">
      <alignment horizontal="right"/>
    </xf>
    <xf numFmtId="14" fontId="2" fillId="5" borderId="0" xfId="0" applyNumberFormat="1" applyFont="1" applyFill="1" applyAlignment="1" applyProtection="1">
      <alignment vertical="center"/>
      <protection locked="0"/>
    </xf>
    <xf numFmtId="14" fontId="0" fillId="6" borderId="0" xfId="0" applyNumberFormat="1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4" fillId="8" borderId="5" xfId="0" applyFont="1" applyFill="1" applyBorder="1" applyAlignment="1">
      <alignment horizontal="right" vertical="center"/>
    </xf>
    <xf numFmtId="0" fontId="5" fillId="0" borderId="0" xfId="0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top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right"/>
    </xf>
    <xf numFmtId="0" fontId="9" fillId="10" borderId="0" xfId="0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12" fillId="2" borderId="0" xfId="0" applyFont="1" applyFill="1"/>
    <xf numFmtId="49" fontId="12" fillId="2" borderId="0" xfId="0" applyNumberFormat="1" applyFont="1" applyFill="1"/>
    <xf numFmtId="0" fontId="4" fillId="9" borderId="4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12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9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1" fillId="10" borderId="6" xfId="0" applyFont="1" applyFill="1" applyBorder="1" applyAlignment="1">
      <alignment horizontal="center" vertical="center" textRotation="90" wrapText="1"/>
    </xf>
    <xf numFmtId="0" fontId="11" fillId="10" borderId="7" xfId="0" applyFont="1" applyFill="1" applyBorder="1" applyAlignment="1">
      <alignment horizontal="center" vertical="center" textRotation="90" wrapText="1"/>
    </xf>
    <xf numFmtId="0" fontId="11" fillId="10" borderId="8" xfId="0" applyFont="1" applyFill="1" applyBorder="1" applyAlignment="1">
      <alignment horizontal="center" vertical="center" textRotation="90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justify" vertical="center" wrapText="1"/>
    </xf>
    <xf numFmtId="0" fontId="11" fillId="10" borderId="0" xfId="0" applyFont="1" applyFill="1" applyAlignment="1">
      <alignment horizontal="center" vertical="center" textRotation="90" wrapText="1"/>
    </xf>
    <xf numFmtId="0" fontId="0" fillId="7" borderId="0" xfId="0" applyFill="1" applyAlignment="1">
      <alignment horizontal="center"/>
    </xf>
  </cellXfs>
  <cellStyles count="1">
    <cellStyle name="Standard" xfId="0" builtinId="0"/>
  </cellStyles>
  <dxfs count="173">
    <dxf>
      <numFmt numFmtId="164" formatCode="0.0"/>
    </dxf>
    <dxf>
      <numFmt numFmtId="165" formatCode="\~\ 0"/>
    </dxf>
    <dxf>
      <numFmt numFmtId="165" formatCode="\~\ 0"/>
    </dxf>
    <dxf>
      <numFmt numFmtId="30" formatCode="@"/>
    </dxf>
    <dxf>
      <numFmt numFmtId="164" formatCode="0.0"/>
    </dxf>
    <dxf>
      <numFmt numFmtId="165" formatCode="\~\ 0"/>
    </dxf>
    <dxf>
      <numFmt numFmtId="165" formatCode="\~\ 0"/>
    </dxf>
    <dxf>
      <numFmt numFmtId="166" formatCode="d\.m\.yy;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800100</xdr:colOff>
          <xdr:row>2</xdr:row>
          <xdr:rowOff>85725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FECACB40-8DD6-457A-A38C-2B00A9343B19}" autoFormatId="16" applyNumberFormats="0" applyBorderFormats="0" applyFontFormats="0" applyPatternFormats="0" applyAlignmentFormats="0" applyWidthHeightFormats="0">
  <queryTableRefresh nextId="143">
    <queryTableFields count="129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138" name="SAMPLE.NUMBER" tableColumnId="127"/>
      <queryTableField id="141" name="SAMPLE.PROBENART" tableColumnId="129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  <queryTableField id="137" name="Index" tableColumnId="126"/>
      <queryTableField id="139" name="Calculated_Sample_Number" tableColumnId="1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9D745E6-8865-4E05-A242-22DEBFF20E5B}" autoFormatId="16" applyNumberFormats="0" applyBorderFormats="0" applyFontFormats="0" applyPatternFormats="0" applyAlignmentFormats="0" applyWidthHeightFormats="0">
  <queryTableRefresh nextId="123">
    <queryTableFields count="110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121" name="SAMPLE.PROBENART" tableColumnId="110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Y15" tableType="queryTable" totalsRowShown="0">
  <autoFilter ref="A1:DY15" xr:uid="{86F13263-33C7-4F2E-8421-A29B3204617B}"/>
  <tableColumns count="129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72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127" xr3:uid="{1511F139-C93D-4BB6-898A-EDA023AF69B1}" uniqueName="127" name="SAMPLE.NUMBER" queryTableFieldId="138"/>
    <tableColumn id="129" xr3:uid="{B8D22EB8-D9FC-45F4-97D7-927FBCCF33AF}" uniqueName="129" name="SAMPLE.PROBENART" queryTableFieldId="141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71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2"/>
    <tableColumn id="71" xr3:uid="{B7D2BA06-4A34-4C68-8818-08707091BD51}" uniqueName="71" name="PARAMETER.LP.EV2" queryTableFieldId="71" dataDxfId="1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0"/>
    <tableColumn id="77" xr3:uid="{A31B4E8D-FF30-4350-8B36-F5A091FA8BE3}" uniqueName="77" name="PARAMETER.CHEMISTRY.ID" queryTableFieldId="77" dataDxfId="170"/>
    <tableColumn id="78" xr3:uid="{6447F090-92FC-4BF7-BB54-7062E3B51531}" uniqueName="78" name="PARAMETER.CHEMISTRY.MUFV" queryTableFieldId="78" dataDxfId="169"/>
    <tableColumn id="79" xr3:uid="{02A2CC25-5CAB-486D-B541-3DE6E66C39B0}" uniqueName="79" name="PARAMETER.CHEMISTRY.MUFV_PARAMETER" queryTableFieldId="79" dataDxfId="168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167"/>
    <tableColumn id="81" xr3:uid="{4EBADA30-0DF6-499D-AAF0-FC1167D25847}" uniqueName="81" name="PARAMETER.CHEMISTRY.KMF" queryTableFieldId="81" dataDxfId="166"/>
    <tableColumn id="82" xr3:uid="{3B561F5F-2D43-4067-8617-DECD7FB8EA51}" uniqueName="82" name="PARAMETER.CHEMISTRY.PAK" queryTableFieldId="82" dataDxfId="165"/>
    <tableColumn id="83" xr3:uid="{FFB29055-4A3C-457D-A460-0093ABBD6620}" uniqueName="83" name="PARAMETER.CHEMISTRY.PCB" queryTableFieldId="83" dataDxfId="164"/>
    <tableColumn id="84" xr3:uid="{223AB50A-7F5C-4434-976E-67A136FA6D2C}" uniqueName="84" name="PARAMETER.CHEMISTRY.BTEX" queryTableFieldId="84" dataDxfId="163"/>
    <tableColumn id="85" xr3:uid="{DF177C34-7768-423A-BBEE-CB2710E46706}" uniqueName="85" name="PARAMETER.CHEMISTRY.EOX" queryTableFieldId="85" dataDxfId="162"/>
    <tableColumn id="86" xr3:uid="{449C7574-6309-4508-9E06-DA2A5DDB239D}" uniqueName="86" name="PARAMETER.CHEMISTRY.PHENOLE" queryTableFieldId="86" dataDxfId="161"/>
    <tableColumn id="87" xr3:uid="{FA4D0C39-E96A-4B21-9448-CD88C1947C88}" uniqueName="87" name="PARAMETER.CHEMISTRY.ICP_SCREENING" queryTableFieldId="87" dataDxfId="160"/>
    <tableColumn id="88" xr3:uid="{5C31CD76-89C0-4772-832C-EDD96CAF2D7C}" uniqueName="88" name="PARAMETER.CHEMISTRY.MKW_C10_C22" queryTableFieldId="88" dataDxfId="159"/>
    <tableColumn id="89" xr3:uid="{6557DE6D-5F29-4CCB-BEAF-951520533AB7}" uniqueName="89" name="PARAMETER.CHEMISTRY.MKW_C10_C40" queryTableFieldId="89" dataDxfId="158"/>
    <tableColumn id="90" xr3:uid="{56DEE031-2DC4-466F-B6B3-6EFB4A114A06}" uniqueName="90" name="PARAMETER.CHEMISTRY.SULFAT" queryTableFieldId="90" dataDxfId="157"/>
    <tableColumn id="91" xr3:uid="{E331A1BC-B90C-48E4-84AA-6505E483F830}" uniqueName="91" name="PARAMETER.CHEMISTRY.ALTHOLZ_VERORDNUNG" queryTableFieldId="91" dataDxfId="156"/>
    <tableColumn id="92" xr3:uid="{664484A1-1F1D-4631-9229-FA2423019CF7}" uniqueName="92" name="PARAMETER.CHEMISTRY.FCKW" queryTableFieldId="92" dataDxfId="155"/>
    <tableColumn id="93" xr3:uid="{E9955DE5-8EE5-451C-B9B5-47B862F0EBF7}" uniqueName="93" name="PARAMETER.CHEMISTRY.HBCD" queryTableFieldId="93" dataDxfId="154"/>
    <tableColumn id="94" xr3:uid="{99A8AAEB-7F54-443A-9AE4-10239B7B5313}" uniqueName="94" name="PARAMETER.CHEMISTRY.LAGA_BO" queryTableFieldId="94" dataDxfId="153"/>
    <tableColumn id="95" xr3:uid="{40FC5D6C-62C6-452D-85D0-BF8E2B0CA64D}" uniqueName="95" name="PARAMETER.CHEMISTRY.LAGA_RC" queryTableFieldId="95" dataDxfId="152"/>
    <tableColumn id="96" xr3:uid="{5350E1CB-168D-43E2-8174-5307AB2F7FFF}" uniqueName="96" name="PARAMETER.CHEMISTRY.LAGA_RC_ORIENTIERUNGSWERT" queryTableFieldId="96" dataDxfId="151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50"/>
    <tableColumn id="98" xr3:uid="{725C7FEA-C159-432A-BBD3-F6031988605E}" uniqueName="98" name="PARAMETER.CHEMISTRY.DEPV" queryTableFieldId="98" dataDxfId="149"/>
    <tableColumn id="99" xr3:uid="{C4872AA8-2C00-433A-97CE-CA0243253F13}" uniqueName="99" name="PARAMETER.CHEMISTRY.ENTSCHEIDUNGSHILFE" queryTableFieldId="99" dataDxfId="148"/>
    <tableColumn id="100" xr3:uid="{4A15FF20-0E7F-4AFB-92FE-AE384507F846}" uniqueName="100" name="PARAMETER.CHEMISTRY.REKU" queryTableFieldId="100" dataDxfId="147"/>
    <tableColumn id="101" xr3:uid="{6DE305E5-8909-4015-B780-8B5EC1734EF0}" uniqueName="101" name="PARAMETER.CHEMISTRY.RUVA" queryTableFieldId="101" dataDxfId="146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45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44"/>
    <tableColumn id="118" xr3:uid="{3BFAA40F-A0BC-48BB-A998-3C0F59055FDF}" uniqueName="118" name="SAMPLE.ABFALLSCHLUESSEL_GEMISCH" queryTableFieldId="118" dataDxfId="143"/>
    <tableColumn id="126" xr3:uid="{B12FDD2A-566A-4B3B-870A-EEDAA49C45CC}" uniqueName="126" name="Index" queryTableFieldId="137"/>
    <tableColumn id="128" xr3:uid="{E37B5776-6708-4D56-B352-0E1A13387367}" uniqueName="128" name="Calculated_Sample_Number" queryTableFieldId="13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3" tableType="queryTable" totalsRowShown="0">
  <autoFilter ref="A1:BG3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42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41"/>
    <tableColumn id="26" xr3:uid="{FC97436C-64A0-41C8-B4BE-9C2242984A2A}" uniqueName="26" name="SAMPLE.ABFALLSCHLUESSEL_GEMISCH" queryTableFieldId="26" dataDxfId="140"/>
    <tableColumn id="27" xr3:uid="{FEC52FA2-705E-42CB-80EC-4928D5325B71}" uniqueName="27" name="PARAMETER.CHEMISTRY.ID" queryTableFieldId="27" dataDxfId="139"/>
    <tableColumn id="28" xr3:uid="{27A4E004-8EAD-421D-9AA3-CF721B6D9A83}" uniqueName="28" name="PARAMETER.CHEMISTRY.MUFV" queryTableFieldId="28" dataDxfId="138"/>
    <tableColumn id="29" xr3:uid="{93606AFB-108E-4FE1-895A-71BB6F3DF64F}" uniqueName="29" name="PARAMETER.CHEMISTRY.MUFV_PARAMETER" queryTableFieldId="29" dataDxfId="137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36"/>
    <tableColumn id="31" xr3:uid="{14D629DF-C709-4790-82B1-CF18C3C6D43E}" uniqueName="31" name="PARAMETER.CHEMISTRY.KMF" queryTableFieldId="31" dataDxfId="135"/>
    <tableColumn id="32" xr3:uid="{0F0061C7-0951-41B7-87CF-A6950CCB314E}" uniqueName="32" name="PARAMETER.CHEMISTRY.PAK" queryTableFieldId="32" dataDxfId="134"/>
    <tableColumn id="33" xr3:uid="{2F939509-A19C-4906-8FC2-BCF88B19BE05}" uniqueName="33" name="PARAMETER.CHEMISTRY.PCB" queryTableFieldId="33" dataDxfId="133"/>
    <tableColumn id="34" xr3:uid="{03BF367E-3FCF-4ECC-A100-B8012E65F100}" uniqueName="34" name="PARAMETER.CHEMISTRY.BTEX" queryTableFieldId="34" dataDxfId="132"/>
    <tableColumn id="35" xr3:uid="{BA3BECE2-FE5C-47CC-970C-F106E733A380}" uniqueName="35" name="PARAMETER.CHEMISTRY.EOX" queryTableFieldId="35" dataDxfId="131"/>
    <tableColumn id="36" xr3:uid="{629BC31F-3BD7-41C8-AEAB-17B0A80F2C92}" uniqueName="36" name="PARAMETER.CHEMISTRY.PHENOLE" queryTableFieldId="36" dataDxfId="130"/>
    <tableColumn id="37" xr3:uid="{68813B17-BB65-4926-BE6A-4716BE7DB98C}" uniqueName="37" name="PARAMETER.CHEMISTRY.ICP_SCREENING" queryTableFieldId="37" dataDxfId="129"/>
    <tableColumn id="38" xr3:uid="{EE16B3EF-DECD-42F8-890C-2C830D731663}" uniqueName="38" name="PARAMETER.CHEMISTRY.MKW_C10_C22" queryTableFieldId="38" dataDxfId="128"/>
    <tableColumn id="39" xr3:uid="{5ABF636F-5B8F-4034-8610-2DCB1D4E5DAB}" uniqueName="39" name="PARAMETER.CHEMISTRY.MKW_C10_C40" queryTableFieldId="39" dataDxfId="127"/>
    <tableColumn id="40" xr3:uid="{8B7F21F1-6D87-4C4E-843F-DEF943284D33}" uniqueName="40" name="PARAMETER.CHEMISTRY.SULFAT" queryTableFieldId="40" dataDxfId="126"/>
    <tableColumn id="41" xr3:uid="{4998777B-9E4E-4BC9-B317-43F694B0F669}" uniqueName="41" name="PARAMETER.CHEMISTRY.ALTHOLZ_VERORDNUNG" queryTableFieldId="41" dataDxfId="125"/>
    <tableColumn id="42" xr3:uid="{2FF936F5-EAC8-48B4-9AA7-737B3728B063}" uniqueName="42" name="PARAMETER.CHEMISTRY.FCKW" queryTableFieldId="42" dataDxfId="124"/>
    <tableColumn id="43" xr3:uid="{FDFBEC0C-E165-43F8-9120-B73BD468C297}" uniqueName="43" name="PARAMETER.CHEMISTRY.HBCD" queryTableFieldId="43" dataDxfId="123"/>
    <tableColumn id="44" xr3:uid="{43420AA0-A5F4-4F3B-8341-DC45675A9502}" uniqueName="44" name="PARAMETER.CHEMISTRY.LAGA_BO" queryTableFieldId="44" dataDxfId="122"/>
    <tableColumn id="45" xr3:uid="{58F1740F-4C9F-431F-9219-439DD02CECC4}" uniqueName="45" name="PARAMETER.CHEMISTRY.LAGA_RC" queryTableFieldId="45" dataDxfId="121"/>
    <tableColumn id="46" xr3:uid="{60A31DD1-B933-49AA-B154-8C44FA3D3F2F}" uniqueName="46" name="PARAMETER.CHEMISTRY.LAGA_RC_ORIENTIERUNGSWERT" queryTableFieldId="46" dataDxfId="120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9"/>
    <tableColumn id="48" xr3:uid="{1639B7A6-5F78-42FC-A430-E662E0FF3BEE}" uniqueName="48" name="PARAMETER.CHEMISTRY.DEPV" queryTableFieldId="48" dataDxfId="118"/>
    <tableColumn id="49" xr3:uid="{6B10F78D-E8F9-41E6-B732-58683EAA26B4}" uniqueName="49" name="PARAMETER.CHEMISTRY.ENTSCHEIDUNGSHILFE" queryTableFieldId="49" dataDxfId="117"/>
    <tableColumn id="50" xr3:uid="{8E2DB51E-5F76-470A-A87D-FB1FE1BEEC83}" uniqueName="50" name="PARAMETER.CHEMISTRY.REKU" queryTableFieldId="50" dataDxfId="116"/>
    <tableColumn id="51" xr3:uid="{C4DE7668-10FF-47BD-8618-85556FE90926}" uniqueName="51" name="PARAMETER.CHEMISTRY.RUVA" queryTableFieldId="51" dataDxfId="115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14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3" tableType="queryTable" totalsRowShown="0">
  <autoFilter ref="A1:BF3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13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3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12"/>
    <tableColumn id="27" xr3:uid="{902891BF-4C44-4429-AE57-3AAD8935F399}" uniqueName="27" name="PARAMETER.CHEMISTRY.MUFV" queryTableFieldId="27" dataDxfId="111"/>
    <tableColumn id="28" xr3:uid="{0163579B-8675-4915-B82E-5DDFFC21F068}" uniqueName="28" name="PARAMETER.CHEMISTRY.MUFV_PARAMETER" queryTableFieldId="28" dataDxfId="110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09"/>
    <tableColumn id="30" xr3:uid="{71C9984E-D894-44FC-9976-9D93D2D21604}" uniqueName="30" name="PARAMETER.CHEMISTRY.KMF" queryTableFieldId="30" dataDxfId="108"/>
    <tableColumn id="31" xr3:uid="{8B4C8DA6-6572-4699-A05F-09F5E4C19362}" uniqueName="31" name="PARAMETER.CHEMISTRY.PAK" queryTableFieldId="31" dataDxfId="107"/>
    <tableColumn id="32" xr3:uid="{B9B85D41-AFCE-4533-B5E6-24125385408D}" uniqueName="32" name="PARAMETER.CHEMISTRY.PCB" queryTableFieldId="32" dataDxfId="106"/>
    <tableColumn id="33" xr3:uid="{F4507179-85F8-426A-A8E6-400631C082EF}" uniqueName="33" name="PARAMETER.CHEMISTRY.BTEX" queryTableFieldId="33" dataDxfId="105"/>
    <tableColumn id="34" xr3:uid="{F3FA9695-3EFB-421B-9F14-E940B7BAEE97}" uniqueName="34" name="PARAMETER.CHEMISTRY.EOX" queryTableFieldId="34" dataDxfId="104"/>
    <tableColumn id="35" xr3:uid="{CA6C8245-C111-46C2-9973-26638FB0340B}" uniqueName="35" name="PARAMETER.CHEMISTRY.PHENOLE" queryTableFieldId="35" dataDxfId="103"/>
    <tableColumn id="36" xr3:uid="{55CE9F12-B661-4590-8250-B3BFBF790071}" uniqueName="36" name="PARAMETER.CHEMISTRY.ICP_SCREENING" queryTableFieldId="36" dataDxfId="102"/>
    <tableColumn id="37" xr3:uid="{D164A852-28EB-4196-B9BD-1F98D08D34C5}" uniqueName="37" name="PARAMETER.CHEMISTRY.MKW_C10_C22" queryTableFieldId="37" dataDxfId="101"/>
    <tableColumn id="38" xr3:uid="{297CC18C-733C-440E-806A-C6A285362C3F}" uniqueName="38" name="PARAMETER.CHEMISTRY.MKW_C10_C40" queryTableFieldId="38" dataDxfId="100"/>
    <tableColumn id="39" xr3:uid="{080E079B-0396-48D3-8E4D-F432AA3CE2B6}" uniqueName="39" name="PARAMETER.CHEMISTRY.SULFAT" queryTableFieldId="39" dataDxfId="99"/>
    <tableColumn id="40" xr3:uid="{0F406AE1-339B-449F-B1B8-F8BDD57E1A1E}" uniqueName="40" name="PARAMETER.CHEMISTRY.ALTHOLZ_VERORDNUNG" queryTableFieldId="40" dataDxfId="98"/>
    <tableColumn id="41" xr3:uid="{4F984E01-9D95-4FF1-A5E7-7AFCE5900571}" uniqueName="41" name="PARAMETER.CHEMISTRY.FCKW" queryTableFieldId="41" dataDxfId="97"/>
    <tableColumn id="42" xr3:uid="{CD504F65-4317-4929-A9B0-3E95534C4D14}" uniqueName="42" name="PARAMETER.CHEMISTRY.HBCD" queryTableFieldId="42" dataDxfId="96"/>
    <tableColumn id="43" xr3:uid="{EBC9A661-FC40-4D4E-9852-FCCDDB64CEFE}" uniqueName="43" name="PARAMETER.CHEMISTRY.LAGA_BO" queryTableFieldId="43" dataDxfId="95"/>
    <tableColumn id="44" xr3:uid="{87F8EBEA-4032-4611-B364-574506B13F1D}" uniqueName="44" name="PARAMETER.CHEMISTRY.LAGA_RC" queryTableFieldId="44" dataDxfId="94"/>
    <tableColumn id="45" xr3:uid="{D1FA07D6-1F78-4552-AAC1-A43F8A241C15}" uniqueName="45" name="PARAMETER.CHEMISTRY.LAGA_RC_ORIENTIERUNGSWERT" queryTableFieldId="45" dataDxfId="93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92"/>
    <tableColumn id="47" xr3:uid="{61C447EC-A975-407A-AC35-08B9EBA86685}" uniqueName="47" name="PARAMETER.CHEMISTRY.DEPV" queryTableFieldId="47" dataDxfId="91"/>
    <tableColumn id="48" xr3:uid="{C658E730-A7C7-4CE8-ABF0-9884889D6E2C}" uniqueName="48" name="PARAMETER.CHEMISTRY.ENTSCHEIDUNGSHILFE" queryTableFieldId="48" dataDxfId="90"/>
    <tableColumn id="49" xr3:uid="{0E2F03C5-E7E3-4E58-95F2-1B5CCF153376}" uniqueName="49" name="PARAMETER.CHEMISTRY.REKU" queryTableFieldId="49" dataDxfId="89"/>
    <tableColumn id="50" xr3:uid="{D490B33E-7ED1-4745-AFE3-BC2A63A7AA99}" uniqueName="50" name="PARAMETER.CHEMISTRY.RUVA" queryTableFieldId="50" dataDxfId="88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87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F11" tableType="queryTable" totalsRowShown="0">
  <autoFilter ref="A1:DF11" xr:uid="{68B44AD0-D5D7-4E41-9CF9-E2AE554DD388}"/>
  <tableColumns count="110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110" xr3:uid="{91241B90-0062-4D89-93F2-E5C539448169}" uniqueName="110" name="SAMPLE.PROBENART" queryTableFieldId="121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86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6"/>
    <tableColumn id="71" xr3:uid="{B2B0DC0A-4F06-4037-BF53-4869770EDC23}" uniqueName="71" name="PARAMETER.LP.EV2" queryTableFieldId="71" dataDxfId="5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4"/>
    <tableColumn id="77" xr3:uid="{BE683E9B-8FDA-40E0-9D5F-6DE1618EE920}" uniqueName="77" name="PARAMETER.CHEMISTRY.ID" queryTableFieldId="77" dataDxfId="85"/>
    <tableColumn id="78" xr3:uid="{49EFDBAC-19CC-4661-B008-77A9DBA07868}" uniqueName="78" name="PARAMETER.CHEMISTRY.MUFV" queryTableFieldId="78" dataDxfId="84"/>
    <tableColumn id="79" xr3:uid="{0715B054-3D90-4ECF-B353-252F004A4F5B}" uniqueName="79" name="PARAMETER.CHEMISTRY.MUFV_PARAMETER" queryTableFieldId="79" dataDxfId="83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82"/>
    <tableColumn id="81" xr3:uid="{62A408EB-C7AA-45EB-8EF4-A2E1ECC4C3CC}" uniqueName="81" name="PARAMETER.CHEMISTRY.KMF" queryTableFieldId="81" dataDxfId="81"/>
    <tableColumn id="82" xr3:uid="{62ED9188-F645-41A3-88F0-129B28CEF72F}" uniqueName="82" name="PARAMETER.CHEMISTRY.PAK" queryTableFieldId="82" dataDxfId="80"/>
    <tableColumn id="83" xr3:uid="{19B27EF8-A549-4C1F-9B42-9D430FCAFDFD}" uniqueName="83" name="PARAMETER.CHEMISTRY.PCB" queryTableFieldId="83" dataDxfId="79"/>
    <tableColumn id="84" xr3:uid="{408F9534-9EE6-4547-B5B1-2FBF85B7945F}" uniqueName="84" name="PARAMETER.CHEMISTRY.BTEX" queryTableFieldId="84" dataDxfId="78"/>
    <tableColumn id="85" xr3:uid="{F57E53A5-8FAA-486C-B91D-D459D982FF1A}" uniqueName="85" name="PARAMETER.CHEMISTRY.EOX" queryTableFieldId="85" dataDxfId="77"/>
    <tableColumn id="86" xr3:uid="{D5193380-2EA0-4671-B593-292D080CD9AF}" uniqueName="86" name="PARAMETER.CHEMISTRY.PHENOLE" queryTableFieldId="86" dataDxfId="76"/>
    <tableColumn id="87" xr3:uid="{70FBACBD-54B9-4FF4-98E6-304083C2881B}" uniqueName="87" name="PARAMETER.CHEMISTRY.ICP_SCREENING" queryTableFieldId="87" dataDxfId="75"/>
    <tableColumn id="88" xr3:uid="{8DC2F49B-FB91-43C4-B144-9D71FD8DE9DA}" uniqueName="88" name="PARAMETER.CHEMISTRY.MKW_C10_C22" queryTableFieldId="88" dataDxfId="74"/>
    <tableColumn id="89" xr3:uid="{8C619B32-F2ED-4154-A971-E54C0533BE46}" uniqueName="89" name="PARAMETER.CHEMISTRY.MKW_C10_C40" queryTableFieldId="89" dataDxfId="73"/>
    <tableColumn id="90" xr3:uid="{CBEF3DD2-C9EF-49A2-84C8-2AED4407ED4B}" uniqueName="90" name="PARAMETER.CHEMISTRY.SULFAT" queryTableFieldId="90" dataDxfId="72"/>
    <tableColumn id="91" xr3:uid="{FEA55896-E766-49D4-90F2-914EEDCB0AB2}" uniqueName="91" name="PARAMETER.CHEMISTRY.ALTHOLZ_VERORDNUNG" queryTableFieldId="91" dataDxfId="71"/>
    <tableColumn id="92" xr3:uid="{E7F2BD8B-E27A-4B4F-8A49-93F8BD7D18A0}" uniqueName="92" name="PARAMETER.CHEMISTRY.FCKW" queryTableFieldId="92" dataDxfId="70"/>
    <tableColumn id="93" xr3:uid="{816AEC63-0DEE-4627-8FC7-0E38BBD3281A}" uniqueName="93" name="PARAMETER.CHEMISTRY.HBCD" queryTableFieldId="93" dataDxfId="69"/>
    <tableColumn id="94" xr3:uid="{5D8D0448-FD28-4E36-B3BC-27D314DF815B}" uniqueName="94" name="PARAMETER.CHEMISTRY.LAGA_BO" queryTableFieldId="94" dataDxfId="68"/>
    <tableColumn id="95" xr3:uid="{B9F3D638-C332-49F7-8927-86D91BAC52D8}" uniqueName="95" name="PARAMETER.CHEMISTRY.LAGA_RC" queryTableFieldId="95" dataDxfId="67"/>
    <tableColumn id="96" xr3:uid="{732D813B-F681-4A3D-9F90-E49CDE81F912}" uniqueName="96" name="PARAMETER.CHEMISTRY.LAGA_RC_ORIENTIERUNGSWERT" queryTableFieldId="96" dataDxfId="66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65"/>
    <tableColumn id="98" xr3:uid="{16CD09D6-B40B-4446-A277-4972A7E14642}" uniqueName="98" name="PARAMETER.CHEMISTRY.DEPV" queryTableFieldId="98" dataDxfId="64"/>
    <tableColumn id="99" xr3:uid="{26DD249C-F520-4939-A0C4-C280C03D0BAE}" uniqueName="99" name="PARAMETER.CHEMISTRY.ENTSCHEIDUNGSHILFE" queryTableFieldId="99" dataDxfId="63"/>
    <tableColumn id="100" xr3:uid="{43436799-932D-409B-93DB-A33E627D925B}" uniqueName="100" name="PARAMETER.CHEMISTRY.REKU" queryTableFieldId="100" dataDxfId="62"/>
    <tableColumn id="101" xr3:uid="{4D536224-BE38-42C2-B331-302398CC0060}" uniqueName="101" name="PARAMETER.CHEMISTRY.RUVA" queryTableFieldId="101" dataDxfId="61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60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59">
  <autoFilter ref="A2:AE5" xr:uid="{5055F3DA-5118-49AB-94C1-988D940BAC5E}"/>
  <tableColumns count="31">
    <tableColumn id="1" xr3:uid="{CF3E7D7D-2184-43F7-AD26-A5C5DC2DBC0C}" name="ID" dataDxfId="58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3" totalsRowShown="0" headerRowDxfId="57">
  <autoFilter ref="A1:E3" xr:uid="{10D35800-9D67-48C4-AD9A-6C0A5709A897}"/>
  <tableColumns count="5">
    <tableColumn id="1" xr3:uid="{8939B6B1-95AF-4C73-877C-EF82136B8050}" name="ID" dataDxfId="56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55"/>
    <tableColumn id="5" xr3:uid="{604BCDB4-4194-4641-B9F8-A66053B7508B}" name="&gt; 77°C" dataDxfId="54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53">
  <autoFilter ref="A1:K2" xr:uid="{C5B5D589-DA93-4F14-A4A4-7B60407AADCF}"/>
  <tableColumns count="11">
    <tableColumn id="1" xr3:uid="{4F88403B-0C27-4180-BCBE-62627665E7D8}" name="ID" dataDxfId="52">
      <calculatedColumnFormula>"LP"&amp;ROW()-1</calculatedColumnFormula>
    </tableColumn>
    <tableColumn id="2" xr3:uid="{51F153C6-5FF1-44FD-B39F-464F5777D26F}" name="NUMMER" dataDxfId="51">
      <calculatedColumnFormula>ROW()-1</calculatedColumnFormula>
    </tableColumn>
    <tableColumn id="3" xr3:uid="{D635D0C6-EC46-4499-87D8-E68BA2217AC3}" name="WERT_1" dataDxfId="50"/>
    <tableColumn id="4" xr3:uid="{EB4DDFA1-C89E-49B6-A6D9-3E4EE912B328}" name="WERT_2" dataDxfId="49"/>
    <tableColumn id="5" xr3:uid="{675180B4-A186-4E41-9A3F-809597A2D137}" name="WERT_3" dataDxfId="48"/>
    <tableColumn id="6" xr3:uid="{1BCD8931-601C-4036-97BE-6890E0BB8E1A}" name="MITTELWERT" dataDxfId="47">
      <calculatedColumnFormula>IFERROR(AVERAGE(Lp.Table[[#This Row],[WERT_1]:[WERT_3]]),"")</calculatedColumnFormula>
    </tableColumn>
    <tableColumn id="7" xr3:uid="{E52EA34C-9206-4F8E-ADA8-4882EB8536D2}" name="EV" dataDxfId="46">
      <calculatedColumnFormula>IFERROR(ROUND(22.5/Lp.Table[[#This Row],[MITTELWERT]],1),"")</calculatedColumnFormula>
    </tableColumn>
    <tableColumn id="8" xr3:uid="{F82604BB-DC28-42BD-A51D-F8A987DCA29B}" name="EV85" dataDxfId="45">
      <calculatedColumnFormula>IFERROR(ROUND(Lp.Table[[#This Row],[EV]]*0.85,0),"")</calculatedColumnFormula>
    </tableColumn>
    <tableColumn id="9" xr3:uid="{DAF46846-3846-48E2-BAD5-98185ED0BC6A}" name="EV2" dataDxfId="44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43">
      <calculatedColumnFormula>IF(Lp.Table[[#This Row],[EV2]] &lt;&gt; "",120,"")</calculatedColumnFormula>
    </tableColumn>
    <tableColumn id="11" xr3:uid="{FFEF742E-6D94-4903-BE7F-CF0FBE8E4806}" name="Bewertung" dataDxfId="42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5" totalsRowShown="0" headerRowDxfId="41">
  <autoFilter ref="A2:AG5" xr:uid="{AB98E13D-EE76-407A-9E41-2FEB0148ED29}"/>
  <tableColumns count="33">
    <tableColumn id="1" xr3:uid="{694A277F-BFC2-43E2-BA7B-9942E6414962}" name="ID"/>
    <tableColumn id="3" xr3:uid="{902726AA-755D-453F-843E-F3D3F46C8599}" name="TYPE" dataDxfId="40">
      <calculatedColumnFormula>"EXPLORATION"</calculatedColumnFormula>
    </tableColumn>
    <tableColumn id="2" xr3:uid="{5E32C2F2-99B1-4F86-B125-5BC77663FE3F}" name="NUMMER"/>
    <tableColumn id="4" xr3:uid="{4963561D-ADA7-4207-B968-F5A9A09EF179}" name="DATUM" dataDxfId="39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38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37"/>
    <tableColumn id="15" xr3:uid="{005F580A-41C6-4E6E-B207-2405CF08B91D}" name="BELASTUNGSKLASSE_TAFEL" dataDxfId="36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F12" totalsRowShown="0" headerRowDxfId="35">
  <autoFilter ref="A2:AF12" xr:uid="{B3173AE0-BB3C-4741-B506-4D2B6E8A93E9}"/>
  <tableColumns count="32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32" xr3:uid="{20DDA64E-02AE-4B49-A791-012DD7EC58FB}" name="PROBENART" dataDxfId="34">
      <calculatedColumnFormula>IF(Erkundungsstelle.Sample.Table[[#This Row],[AUFSCHLUSS]]="GOB","EP","MP")</calculatedColumnFormula>
    </tableColumn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33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32">
      <calculatedColumnFormula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31">
      <calculatedColumnFormula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30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29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28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27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26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25">
      <calculatedColumnFormula>"HAUFWERK"</calculatedColumnFormula>
    </tableColumn>
    <tableColumn id="6" xr3:uid="{1586FA36-B4DE-4684-9D6E-C35C26DEC2A1}" name="ART"/>
    <tableColumn id="20" xr3:uid="{E39EAB2A-0B3D-4A23-B43E-208E3AAE3017}" name="KOERNUNG" dataDxfId="24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23">
      <calculatedColumnFormula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22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21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20">
      <calculatedColumnFormula>"BUILDING"</calculatedColumnFormula>
    </tableColumn>
    <tableColumn id="2" xr3:uid="{3EEAA087-E8CD-44B3-8DF7-FA0EE5A08610}" name="NUMMER"/>
    <tableColumn id="3" xr3:uid="{A368117F-57A6-414D-A93E-3A6BD44DE902}" name="DATUM" dataDxfId="19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8" headerRowBorderDxfId="17" tableBorderDxfId="16">
  <autoFilter ref="A1:P3" xr:uid="{3730A37C-629E-4550-A01C-455CDD4A615A}"/>
  <tableColumns count="16">
    <tableColumn id="16" xr3:uid="{54D7B85E-0AC3-4C06-8F98-2D052592AE14}" name="ID" dataDxfId="15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14">
      <calculatedColumnFormula>"LAYER"</calculatedColumnFormula>
    </tableColumn>
    <tableColumn id="4" xr3:uid="{E42478A1-49FD-48AB-BAA7-1896B69635A5}" name="NUMMER"/>
    <tableColumn id="5" xr3:uid="{63C7892F-F854-491A-96AB-FE7C93927D92}" name="AUFSCHLUSS" dataDxfId="13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2">
      <calculatedColumnFormula>Gebaeude.Sample.Table[[#This Row],[TIEFE_ENDE]]-Gebaeude.Sample.Table[[#This Row],[DICKE]]</calculatedColumnFormula>
    </tableColumn>
    <tableColumn id="10" xr3:uid="{5CBF7A6E-AC07-4534-A77E-5433494D3ACF}" name="TIEFE_ENDE" dataDxfId="11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D0083F-CDF8-4639-9882-57C0D2FD2BE9}" name="Konstanten" displayName="Konstanten" ref="A1:AJ101" totalsRowShown="0" headerRowDxfId="10">
  <autoFilter ref="A1:AJ101" xr:uid="{EFD0083F-CDF8-4639-9882-57C0D2FD2BE9}"/>
  <tableColumns count="36">
    <tableColumn id="1" xr3:uid="{9A9E79E9-0557-40FC-BA95-5679D14FC5C0}" name="SCHICHT_AUFSCHLUSS"/>
    <tableColumn id="2" xr3:uid="{31C7F706-AF6E-40F2-B411-8EF9B2D59F94}" name="SCHICHT_BEHAELTNISSE"/>
    <tableColumn id="3" xr3:uid="{D8B9AF04-37C9-4853-B524-BBECB77A94BF}" name="SCHICHT_RUNDUNGSGRAD"/>
    <tableColumn id="4" xr3:uid="{9D700CD7-AC2F-4110-8984-C38CFD76DF6F}" name="SCHICHT_BODENART"/>
    <tableColumn id="5" xr3:uid="{7243EB99-6F59-4F29-90B1-D653850CC8A6}" name="SCHICHT_KONSISTENZ"/>
    <tableColumn id="6" xr3:uid="{1A5345B3-129B-4260-9FF3-0A4AB6D54FCB}" name="SCHICHT_FEUCHTIGKEIT"/>
    <tableColumn id="7" xr3:uid="{C3C28B6C-4D40-463C-B9B6-DB797C8DA7DC}" name="SCHICHT_VERDICHTUNGSFAEHIGKEIT"/>
    <tableColumn id="8" xr3:uid="{41FDC722-66F5-48EF-A35F-04BD7AF65FBB}" name="CHEMIE_MUFV"/>
    <tableColumn id="9" xr3:uid="{02A37CFA-8136-4136-882F-DEDCF9DE2B15}" name="CHEMIE_LAGA_BO"/>
    <tableColumn id="10" xr3:uid="{AAFE3618-8253-4906-B59B-2CC33BE23B67}" name="CHEMIE_LAGA_RC"/>
    <tableColumn id="11" xr3:uid="{64C5D4A8-4DE1-4D20-9781-DDC6FAAE3426}" name="CHEMIE_LAGARC_ORIENTIERUNGSWERT"/>
    <tableColumn id="12" xr3:uid="{77C447A0-2D1D-435B-B1B4-026E9621A70D}" name="CHEMIE_TLGESTEIN"/>
    <tableColumn id="13" xr3:uid="{F8A32CC1-EF63-46A7-BDBD-8F6E3A7168FA}" name="CHEMIE_DEPV"/>
    <tableColumn id="14" xr3:uid="{021115BE-9186-4BE9-8B5F-D26AA2D72D81}" name="CHEMIE_ENTSCHEIDUNGSHILFE"/>
    <tableColumn id="15" xr3:uid="{4C52AEF6-10FE-46A4-B708-8C22F415ED46}" name="CHEMIE_REKU"/>
    <tableColumn id="16" xr3:uid="{16602DA2-753F-4254-93EA-5568F31052C8}" name="CHEMIE_ASBEST"/>
    <tableColumn id="17" xr3:uid="{01D67AF5-9CF9-41E4-A3A7-4DE9A01CC7E9}" name="ERK_AUFSCHLUSS_OB"/>
    <tableColumn id="18" xr3:uid="{B2168CAD-CB70-4C25-9395-FFC3041D5E30}" name="ERK_AUFSCHLUSS_TOB"/>
    <tableColumn id="19" xr3:uid="{B7C685D9-96C8-487A-8CA3-222F4C369CC4}" name="ERK_AUFSCHLUSS_UG_OH_BA"/>
    <tableColumn id="20" xr3:uid="{3C6BCE71-1C03-4D22-B794-7B7E0C8197BD}" name="ERK_OBERKANTE"/>
    <tableColumn id="21" xr3:uid="{9CB5AEAE-D098-4392-A652-15426AD1CAF0}" name="ERK_BELASTUNGSKLASSE" dataDxfId="9"/>
    <tableColumn id="22" xr3:uid="{04A3235E-38DC-4836-8789-BD1E7284D8EA}" name="AUSWAHL_X"/>
    <tableColumn id="23" xr3:uid="{F19E266E-5A46-4AFB-B962-B23D3229ABF0}" name="ERK_FOOTNOTE"/>
    <tableColumn id="24" xr3:uid="{22F7F8C3-E711-4CCB-9663-ACD957DAC67B}" name="RUK_PROBENART"/>
    <tableColumn id="25" xr3:uid="{60F388D1-60EA-4C50-930C-602C856B5130}" name="GEBÄUDE_BAUTEIL"/>
    <tableColumn id="26" xr3:uid="{3D7AFC2E-D4CC-4015-929B-972E3BBA7C53}" name="GEBÄUDE_CHARAKTER"/>
    <tableColumn id="27" xr3:uid="{D1DD99A0-2ECD-4FDE-90A6-6DC0AA5972D9}" name="GEBÄUDE_GERUCH"/>
    <tableColumn id="28" xr3:uid="{F4139DEE-842F-4841-9EEE-4EC2C7AF1509}" name="GEBÄUDE_ETAGEN"/>
    <tableColumn id="29" xr3:uid="{1C4844C9-8E1A-465F-AB4C-70E37388DD14}" name="GEBÄUDE_ENTNAHME"/>
    <tableColumn id="30" xr3:uid="{6C735407-C156-41C8-AEF1-AFC1A115DBE9}" name="GEBÄUDE_AVV" dataDxfId="8"/>
    <tableColumn id="31" xr3:uid="{FFA03A48-0581-4A25-B6FF-1EE022B694A0}" name="LFS"/>
    <tableColumn id="32" xr3:uid="{7734A570-AA65-40FB-8649-5AF80E3E980A}" name="KMF"/>
    <tableColumn id="33" xr3:uid="{7497E135-F0BF-4815-909F-31CAA921FE86}" name="ALTHOLZ"/>
    <tableColumn id="34" xr3:uid="{6632E4C1-645D-448C-B9DF-1AE9D7F10F66}" name="EBV_BODEN"/>
    <tableColumn id="35" xr3:uid="{1D1C9233-0EA2-4EFE-A9B4-49A135842215}" name="EBV_BAUSCHUTT"/>
    <tableColumn id="36" xr3:uid="{D235A16F-1B38-4B44-B257-C5F69028E1FD}" name="PROBE_ERK_PROBENART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273D9-DCFD-4B03-9642-CC79D481C8DE}">
  <we:reference id="wa200002346" version="1.1.0.0" store="de-DE" storeType="OMEX"/>
  <we:alternateReferences>
    <we:reference id="wa200002346" version="1.1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omments" Target="../comments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Y15"/>
  <sheetViews>
    <sheetView tabSelected="1" topLeftCell="AL1" zoomScale="85" zoomScaleNormal="85" workbookViewId="0">
      <selection activeCell="AQ6" sqref="AQ6"/>
    </sheetView>
  </sheetViews>
  <sheetFormatPr baseColWidth="10" defaultColWidth="9.140625" defaultRowHeight="15" x14ac:dyDescent="0.25"/>
  <cols>
    <col min="1" max="1" width="11.85546875" bestFit="1" customWidth="1"/>
    <col min="2" max="2" width="14.140625" bestFit="1" customWidth="1"/>
    <col min="3" max="3" width="18.5703125" bestFit="1" customWidth="1"/>
    <col min="4" max="4" width="16.5703125" style="18" bestFit="1" customWidth="1"/>
    <col min="5" max="5" width="17.85546875" bestFit="1" customWidth="1"/>
    <col min="6" max="6" width="17.28515625" bestFit="1" customWidth="1"/>
    <col min="7" max="7" width="27.5703125" bestFit="1" customWidth="1"/>
    <col min="8" max="8" width="23" bestFit="1" customWidth="1"/>
    <col min="9" max="9" width="52.570312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710937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.28515625" bestFit="1" customWidth="1"/>
    <col min="22" max="22" width="30.42578125" bestFit="1" customWidth="1"/>
    <col min="23" max="23" width="18" bestFit="1" customWidth="1"/>
    <col min="24" max="24" width="81.140625" bestFit="1" customWidth="1"/>
    <col min="25" max="25" width="72.7109375" bestFit="1" customWidth="1"/>
    <col min="26" max="26" width="21.7109375" bestFit="1" customWidth="1"/>
    <col min="27" max="27" width="81.140625" bestFit="1" customWidth="1"/>
    <col min="28" max="28" width="47.140625" bestFit="1" customWidth="1"/>
    <col min="29" max="29" width="43.5703125" bestFit="1" customWidth="1"/>
    <col min="30" max="30" width="46.7109375" bestFit="1" customWidth="1"/>
    <col min="31" max="31" width="66.7109375" bestFit="1" customWidth="1"/>
    <col min="32" max="32" width="72.5703125" bestFit="1" customWidth="1"/>
    <col min="33" max="33" width="22.710937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19.140625" bestFit="1" customWidth="1"/>
    <col min="42" max="42" width="21.85546875" bestFit="1" customWidth="1"/>
    <col min="43" max="43" width="22.5703125" bestFit="1" customWidth="1"/>
    <col min="44" max="44" width="14.42578125" bestFit="1" customWidth="1"/>
    <col min="45" max="45" width="21.5703125" bestFit="1" customWidth="1"/>
    <col min="46" max="46" width="23.85546875" bestFit="1" customWidth="1"/>
    <col min="47" max="47" width="16.140625" bestFit="1" customWidth="1"/>
    <col min="48" max="48" width="22.140625" bestFit="1" customWidth="1"/>
    <col min="49" max="49" width="21.42578125" bestFit="1" customWidth="1"/>
    <col min="50" max="50" width="15.5703125" bestFit="1" customWidth="1"/>
    <col min="51" max="51" width="40.140625" bestFit="1" customWidth="1"/>
    <col min="52" max="52" width="16.5703125" bestFit="1" customWidth="1"/>
    <col min="53" max="53" width="20.85546875" bestFit="1" customWidth="1"/>
    <col min="54" max="54" width="22.140625" bestFit="1" customWidth="1"/>
    <col min="55" max="55" width="23.85546875" bestFit="1" customWidth="1"/>
    <col min="56" max="56" width="25.5703125" bestFit="1" customWidth="1"/>
    <col min="57" max="57" width="27.140625" bestFit="1" customWidth="1"/>
    <col min="58" max="58" width="16.42578125" bestFit="1" customWidth="1"/>
    <col min="59" max="59" width="21.7109375" bestFit="1" customWidth="1"/>
    <col min="60" max="60" width="21" bestFit="1" customWidth="1"/>
    <col min="61" max="61" width="18.5703125" bestFit="1" customWidth="1"/>
    <col min="62" max="62" width="37.28515625" bestFit="1" customWidth="1"/>
    <col min="63" max="63" width="27.140625" bestFit="1" customWidth="1"/>
    <col min="64" max="64" width="40.42578125" bestFit="1" customWidth="1"/>
    <col min="65" max="65" width="35.85546875" bestFit="1" customWidth="1"/>
    <col min="66" max="66" width="28.42578125" bestFit="1" customWidth="1"/>
    <col min="67" max="67" width="19.28515625" bestFit="1" customWidth="1"/>
    <col min="68" max="68" width="26.28515625" bestFit="1" customWidth="1"/>
    <col min="69" max="69" width="24.7109375" bestFit="1" customWidth="1"/>
    <col min="70" max="71" width="24.7109375" style="5" bestFit="1" customWidth="1"/>
    <col min="72" max="72" width="29.140625" bestFit="1" customWidth="1"/>
    <col min="73" max="73" width="19.7109375" bestFit="1" customWidth="1"/>
    <col min="74" max="74" width="21.7109375" bestFit="1" customWidth="1"/>
    <col min="75" max="75" width="20.7109375" bestFit="1" customWidth="1"/>
    <col min="76" max="76" width="26" style="3" bestFit="1" customWidth="1"/>
    <col min="77" max="77" width="21" bestFit="1" customWidth="1"/>
    <col min="78" max="78" width="28" bestFit="1" customWidth="1"/>
    <col min="79" max="79" width="30.140625" bestFit="1" customWidth="1"/>
    <col min="80" max="80" width="24.42578125" bestFit="1" customWidth="1"/>
    <col min="81" max="81" width="27.5703125" bestFit="1" customWidth="1"/>
    <col min="82" max="82" width="31.42578125" bestFit="1" customWidth="1"/>
    <col min="83" max="83" width="43.5703125" bestFit="1" customWidth="1"/>
    <col min="84" max="84" width="33.140625" bestFit="1" customWidth="1"/>
    <col min="85" max="85" width="32.28515625" bestFit="1" customWidth="1"/>
    <col min="86" max="86" width="29.85546875" bestFit="1" customWidth="1"/>
    <col min="87" max="87" width="29.42578125" bestFit="1" customWidth="1"/>
    <col min="88" max="88" width="29.28515625" bestFit="1" customWidth="1"/>
    <col min="89" max="89" width="30.140625" bestFit="1" customWidth="1"/>
    <col min="90" max="90" width="29.42578125" bestFit="1" customWidth="1"/>
    <col min="91" max="91" width="34.140625" bestFit="1" customWidth="1"/>
    <col min="92" max="92" width="40.140625" bestFit="1" customWidth="1"/>
    <col min="93" max="94" width="39.42578125" bestFit="1" customWidth="1"/>
    <col min="95" max="95" width="32.42578125" bestFit="1" customWidth="1"/>
    <col min="96" max="96" width="48" bestFit="1" customWidth="1"/>
    <col min="97" max="97" width="31.140625" bestFit="1" customWidth="1"/>
    <col min="98" max="98" width="30.7109375" bestFit="1" customWidth="1"/>
    <col min="99" max="99" width="34.42578125" bestFit="1" customWidth="1"/>
    <col min="100" max="100" width="34.140625" bestFit="1" customWidth="1"/>
    <col min="101" max="101" width="55.42578125" bestFit="1" customWidth="1"/>
    <col min="102" max="102" width="36.7109375" bestFit="1" customWidth="1"/>
    <col min="103" max="103" width="41.28515625" bestFit="1" customWidth="1"/>
    <col min="104" max="104" width="52.7109375" bestFit="1" customWidth="1"/>
    <col min="105" max="105" width="36.28515625" bestFit="1" customWidth="1"/>
    <col min="106" max="106" width="30.5703125" bestFit="1" customWidth="1"/>
    <col min="107" max="107" width="46" bestFit="1" customWidth="1"/>
    <col min="108" max="108" width="30.5703125" bestFit="1" customWidth="1"/>
    <col min="109" max="109" width="31" bestFit="1" customWidth="1"/>
    <col min="110" max="110" width="43.140625" bestFit="1" customWidth="1"/>
    <col min="111" max="111" width="28.7109375" bestFit="1" customWidth="1"/>
    <col min="112" max="112" width="20.42578125" bestFit="1" customWidth="1"/>
    <col min="113" max="113" width="18.42578125" bestFit="1" customWidth="1"/>
    <col min="114" max="114" width="17.140625" bestFit="1" customWidth="1"/>
    <col min="115" max="115" width="27.7109375" bestFit="1" customWidth="1"/>
    <col min="116" max="116" width="17.28515625" bestFit="1" customWidth="1"/>
    <col min="117" max="117" width="26" bestFit="1" customWidth="1"/>
    <col min="118" max="118" width="19.5703125" bestFit="1" customWidth="1"/>
    <col min="119" max="119" width="15.5703125" bestFit="1" customWidth="1"/>
    <col min="120" max="120" width="15.42578125" bestFit="1" customWidth="1"/>
    <col min="121" max="122" width="20.140625" bestFit="1" customWidth="1"/>
    <col min="123" max="123" width="21.42578125" bestFit="1" customWidth="1"/>
    <col min="124" max="124" width="31.140625" bestFit="1" customWidth="1"/>
    <col min="125" max="125" width="32.28515625" bestFit="1" customWidth="1"/>
    <col min="126" max="126" width="38.5703125" bestFit="1" customWidth="1"/>
    <col min="127" max="127" width="37.85546875" bestFit="1" customWidth="1"/>
    <col min="128" max="128" width="8.42578125" bestFit="1" customWidth="1"/>
    <col min="129" max="129" width="28.85546875" customWidth="1"/>
    <col min="130" max="130" width="37.85546875" customWidth="1"/>
    <col min="131" max="131" width="38.140625" customWidth="1"/>
  </cols>
  <sheetData>
    <row r="1" spans="1:129" x14ac:dyDescent="0.25">
      <c r="A1" t="s">
        <v>13</v>
      </c>
      <c r="B1" t="s">
        <v>460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323</v>
      </c>
      <c r="Y1" t="s">
        <v>324</v>
      </c>
      <c r="Z1" t="s">
        <v>325</v>
      </c>
      <c r="AA1" t="s">
        <v>326</v>
      </c>
      <c r="AB1" t="s">
        <v>327</v>
      </c>
      <c r="AC1" t="s">
        <v>328</v>
      </c>
      <c r="AD1" t="s">
        <v>329</v>
      </c>
      <c r="AE1" t="s">
        <v>330</v>
      </c>
      <c r="AF1" t="s">
        <v>331</v>
      </c>
      <c r="AG1" t="s">
        <v>332</v>
      </c>
      <c r="AH1" t="s">
        <v>20</v>
      </c>
      <c r="AI1" t="s">
        <v>21</v>
      </c>
      <c r="AJ1" t="s">
        <v>22</v>
      </c>
      <c r="AK1" t="s">
        <v>25</v>
      </c>
      <c r="AL1" t="s">
        <v>455</v>
      </c>
      <c r="AM1" t="s">
        <v>461</v>
      </c>
      <c r="AN1" t="s">
        <v>122</v>
      </c>
      <c r="AO1" t="s">
        <v>577</v>
      </c>
      <c r="AP1" t="s">
        <v>695</v>
      </c>
      <c r="AQ1" t="s">
        <v>123</v>
      </c>
      <c r="AR1" t="s">
        <v>124</v>
      </c>
      <c r="AS1" t="s">
        <v>125</v>
      </c>
      <c r="AT1" t="s">
        <v>126</v>
      </c>
      <c r="AU1" t="s">
        <v>127</v>
      </c>
      <c r="AV1" t="s">
        <v>128</v>
      </c>
      <c r="AW1" t="s">
        <v>129</v>
      </c>
      <c r="AX1" t="s">
        <v>130</v>
      </c>
      <c r="AY1" t="s">
        <v>131</v>
      </c>
      <c r="AZ1" t="s">
        <v>132</v>
      </c>
      <c r="BA1" t="s">
        <v>133</v>
      </c>
      <c r="BB1" t="s">
        <v>134</v>
      </c>
      <c r="BC1" t="s">
        <v>135</v>
      </c>
      <c r="BD1" t="s">
        <v>136</v>
      </c>
      <c r="BE1" t="s">
        <v>137</v>
      </c>
      <c r="BF1" t="s">
        <v>138</v>
      </c>
      <c r="BG1" t="s">
        <v>139</v>
      </c>
      <c r="BH1" t="s">
        <v>140</v>
      </c>
      <c r="BI1" t="s">
        <v>141</v>
      </c>
      <c r="BJ1" t="s">
        <v>142</v>
      </c>
      <c r="BK1" t="s">
        <v>143</v>
      </c>
      <c r="BL1" t="s">
        <v>144</v>
      </c>
      <c r="BM1" t="s">
        <v>145</v>
      </c>
      <c r="BN1" t="s">
        <v>146</v>
      </c>
      <c r="BO1" t="s">
        <v>27</v>
      </c>
      <c r="BP1" t="s">
        <v>165</v>
      </c>
      <c r="BQ1" t="s">
        <v>166</v>
      </c>
      <c r="BR1" t="s">
        <v>167</v>
      </c>
      <c r="BS1" t="s">
        <v>168</v>
      </c>
      <c r="BT1" t="s">
        <v>169</v>
      </c>
      <c r="BU1" t="s">
        <v>305</v>
      </c>
      <c r="BV1" s="5" t="s">
        <v>306</v>
      </c>
      <c r="BW1" s="5" t="s">
        <v>307</v>
      </c>
      <c r="BX1" t="s">
        <v>308</v>
      </c>
      <c r="BY1" t="s">
        <v>28</v>
      </c>
      <c r="BZ1" t="s">
        <v>170</v>
      </c>
      <c r="CA1" t="s">
        <v>171</v>
      </c>
      <c r="CB1" s="3" t="s">
        <v>172</v>
      </c>
      <c r="CC1" t="s">
        <v>26</v>
      </c>
      <c r="CD1" t="s">
        <v>153</v>
      </c>
      <c r="CE1" t="s">
        <v>154</v>
      </c>
      <c r="CF1" t="s">
        <v>490</v>
      </c>
      <c r="CG1" t="s">
        <v>162</v>
      </c>
      <c r="CH1" t="s">
        <v>181</v>
      </c>
      <c r="CI1" t="s">
        <v>182</v>
      </c>
      <c r="CJ1" t="s">
        <v>163</v>
      </c>
      <c r="CK1" t="s">
        <v>164</v>
      </c>
      <c r="CL1" t="s">
        <v>178</v>
      </c>
      <c r="CM1" t="s">
        <v>334</v>
      </c>
      <c r="CN1" t="s">
        <v>179</v>
      </c>
      <c r="CO1" t="s">
        <v>438</v>
      </c>
      <c r="CP1" t="s">
        <v>439</v>
      </c>
      <c r="CQ1" t="s">
        <v>180</v>
      </c>
      <c r="CR1" t="s">
        <v>183</v>
      </c>
      <c r="CS1" t="s">
        <v>434</v>
      </c>
      <c r="CT1" t="s">
        <v>435</v>
      </c>
      <c r="CU1" t="s">
        <v>156</v>
      </c>
      <c r="CV1" t="s">
        <v>157</v>
      </c>
      <c r="CW1" t="s">
        <v>333</v>
      </c>
      <c r="CX1" t="s">
        <v>485</v>
      </c>
      <c r="CY1" t="s">
        <v>486</v>
      </c>
      <c r="CZ1" t="s">
        <v>487</v>
      </c>
      <c r="DA1" t="s">
        <v>158</v>
      </c>
      <c r="DB1" t="s">
        <v>159</v>
      </c>
      <c r="DC1" t="s">
        <v>160</v>
      </c>
      <c r="DD1" t="s">
        <v>161</v>
      </c>
      <c r="DE1" t="s">
        <v>351</v>
      </c>
      <c r="DF1" t="s">
        <v>454</v>
      </c>
      <c r="DG1" t="s">
        <v>155</v>
      </c>
      <c r="DH1" t="s">
        <v>148</v>
      </c>
      <c r="DI1" t="s">
        <v>149</v>
      </c>
      <c r="DJ1" t="s">
        <v>18</v>
      </c>
      <c r="DK1" t="s">
        <v>69</v>
      </c>
      <c r="DL1" t="s">
        <v>70</v>
      </c>
      <c r="DM1" t="s">
        <v>71</v>
      </c>
      <c r="DN1" t="s">
        <v>304</v>
      </c>
      <c r="DO1" t="s">
        <v>72</v>
      </c>
      <c r="DP1" t="s">
        <v>73</v>
      </c>
      <c r="DQ1" t="s">
        <v>74</v>
      </c>
      <c r="DR1" t="s">
        <v>147</v>
      </c>
      <c r="DS1" t="s">
        <v>150</v>
      </c>
      <c r="DT1" t="s">
        <v>433</v>
      </c>
      <c r="DU1" t="s">
        <v>151</v>
      </c>
      <c r="DV1" t="s">
        <v>152</v>
      </c>
      <c r="DW1" t="s">
        <v>302</v>
      </c>
      <c r="DX1" t="s">
        <v>576</v>
      </c>
      <c r="DY1" t="s">
        <v>578</v>
      </c>
    </row>
    <row r="2" spans="1:129" x14ac:dyDescent="0.25">
      <c r="A2" t="s">
        <v>0</v>
      </c>
      <c r="B2" t="s">
        <v>463</v>
      </c>
      <c r="C2">
        <v>1</v>
      </c>
      <c r="D2" t="s">
        <v>474</v>
      </c>
      <c r="E2" t="s">
        <v>337</v>
      </c>
      <c r="F2" t="s">
        <v>335</v>
      </c>
      <c r="G2" t="s">
        <v>336</v>
      </c>
      <c r="H2" t="s">
        <v>338</v>
      </c>
      <c r="I2" t="s">
        <v>339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340</v>
      </c>
      <c r="P2" t="s">
        <v>230</v>
      </c>
      <c r="Q2" t="s">
        <v>230</v>
      </c>
      <c r="R2" t="s">
        <v>230</v>
      </c>
      <c r="S2">
        <v>10</v>
      </c>
      <c r="T2" t="s">
        <v>341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456</v>
      </c>
      <c r="AH2" t="s">
        <v>452</v>
      </c>
      <c r="AI2" t="s">
        <v>0</v>
      </c>
      <c r="AJ2" t="s">
        <v>342</v>
      </c>
      <c r="AK2" t="s">
        <v>467</v>
      </c>
      <c r="AL2" t="s">
        <v>468</v>
      </c>
      <c r="AM2" t="s">
        <v>459</v>
      </c>
      <c r="AN2">
        <v>1</v>
      </c>
      <c r="AO2" t="s">
        <v>579</v>
      </c>
      <c r="AP2" t="s">
        <v>693</v>
      </c>
      <c r="AQ2" t="s">
        <v>190</v>
      </c>
      <c r="AR2" t="s">
        <v>189</v>
      </c>
      <c r="AS2" t="s">
        <v>310</v>
      </c>
      <c r="AU2">
        <v>12</v>
      </c>
      <c r="AV2">
        <v>0</v>
      </c>
      <c r="AW2">
        <v>12</v>
      </c>
      <c r="AX2" t="s">
        <v>191</v>
      </c>
      <c r="AY2" t="s">
        <v>216</v>
      </c>
      <c r="AZ2" t="s">
        <v>448</v>
      </c>
      <c r="BA2" t="s">
        <v>217</v>
      </c>
      <c r="BB2" t="s">
        <v>218</v>
      </c>
      <c r="BC2" t="s">
        <v>219</v>
      </c>
      <c r="BD2">
        <v>1</v>
      </c>
      <c r="BE2">
        <v>1</v>
      </c>
      <c r="BH2" t="s">
        <v>447</v>
      </c>
      <c r="BI2" t="s">
        <v>303</v>
      </c>
      <c r="BJ2">
        <v>1</v>
      </c>
      <c r="BK2" t="s">
        <v>449</v>
      </c>
      <c r="BL2" t="s">
        <v>449</v>
      </c>
      <c r="BM2" t="s">
        <v>220</v>
      </c>
      <c r="BN2" t="s">
        <v>449</v>
      </c>
      <c r="BO2" t="s">
        <v>468</v>
      </c>
      <c r="BP2">
        <v>1</v>
      </c>
      <c r="BQ2">
        <v>0.42</v>
      </c>
      <c r="BR2">
        <v>0.39</v>
      </c>
      <c r="BS2">
        <v>0.39</v>
      </c>
      <c r="BT2">
        <v>0.4</v>
      </c>
      <c r="BU2">
        <v>56.3</v>
      </c>
      <c r="BV2" s="5">
        <v>48</v>
      </c>
      <c r="BW2" s="5">
        <v>87</v>
      </c>
      <c r="BX2">
        <v>120</v>
      </c>
      <c r="BY2" t="s">
        <v>467</v>
      </c>
      <c r="BZ2">
        <v>1</v>
      </c>
      <c r="CA2" t="s">
        <v>6</v>
      </c>
      <c r="CB2" s="3">
        <v>77</v>
      </c>
      <c r="CC2" t="s">
        <v>342</v>
      </c>
      <c r="CD2" t="s">
        <v>4</v>
      </c>
      <c r="CX2" t="s">
        <v>483</v>
      </c>
      <c r="DX2">
        <v>1</v>
      </c>
      <c r="DY2">
        <v>1</v>
      </c>
    </row>
    <row r="3" spans="1:129" x14ac:dyDescent="0.25">
      <c r="A3" t="s">
        <v>0</v>
      </c>
      <c r="B3" t="s">
        <v>463</v>
      </c>
      <c r="C3">
        <v>1</v>
      </c>
      <c r="D3" t="s">
        <v>474</v>
      </c>
      <c r="E3" t="s">
        <v>337</v>
      </c>
      <c r="F3" t="s">
        <v>335</v>
      </c>
      <c r="G3" t="s">
        <v>336</v>
      </c>
      <c r="H3" t="s">
        <v>338</v>
      </c>
      <c r="I3" t="s">
        <v>339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340</v>
      </c>
      <c r="P3" t="s">
        <v>230</v>
      </c>
      <c r="Q3" t="s">
        <v>230</v>
      </c>
      <c r="R3" t="s">
        <v>230</v>
      </c>
      <c r="S3">
        <v>10</v>
      </c>
      <c r="T3" t="s">
        <v>341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456</v>
      </c>
      <c r="AH3" t="s">
        <v>478</v>
      </c>
      <c r="AI3" t="s">
        <v>0</v>
      </c>
      <c r="AJ3" t="s">
        <v>3</v>
      </c>
      <c r="AK3" t="s">
        <v>467</v>
      </c>
      <c r="AM3" t="s">
        <v>459</v>
      </c>
      <c r="AN3">
        <v>2</v>
      </c>
      <c r="AO3" t="s">
        <v>579</v>
      </c>
      <c r="AP3" t="s">
        <v>693</v>
      </c>
      <c r="AQ3" t="s">
        <v>190</v>
      </c>
      <c r="AR3" t="s">
        <v>189</v>
      </c>
      <c r="AS3" t="s">
        <v>310</v>
      </c>
      <c r="AU3">
        <v>3</v>
      </c>
      <c r="AV3">
        <v>12</v>
      </c>
      <c r="AW3">
        <v>15</v>
      </c>
      <c r="AX3" t="s">
        <v>191</v>
      </c>
      <c r="AY3" t="s">
        <v>233</v>
      </c>
      <c r="AZ3" t="s">
        <v>441</v>
      </c>
      <c r="BA3" t="s">
        <v>234</v>
      </c>
      <c r="BB3" t="s">
        <v>235</v>
      </c>
      <c r="BC3" t="s">
        <v>236</v>
      </c>
      <c r="BD3">
        <v>2</v>
      </c>
      <c r="BE3">
        <v>2</v>
      </c>
      <c r="BH3" t="s">
        <v>447</v>
      </c>
      <c r="BI3" t="s">
        <v>303</v>
      </c>
      <c r="BJ3">
        <v>2</v>
      </c>
      <c r="BK3" t="s">
        <v>450</v>
      </c>
      <c r="BL3" t="s">
        <v>450</v>
      </c>
      <c r="BM3" t="s">
        <v>191</v>
      </c>
      <c r="BN3" t="s">
        <v>450</v>
      </c>
      <c r="BR3"/>
      <c r="BS3"/>
      <c r="BV3" s="5"/>
      <c r="BW3" s="5"/>
      <c r="BX3"/>
      <c r="BY3" t="s">
        <v>467</v>
      </c>
      <c r="BZ3">
        <v>1</v>
      </c>
      <c r="CA3" t="s">
        <v>6</v>
      </c>
      <c r="CB3" s="3">
        <v>77</v>
      </c>
      <c r="CC3" t="s">
        <v>3</v>
      </c>
      <c r="CD3" t="s">
        <v>237</v>
      </c>
      <c r="CF3" t="s">
        <v>237</v>
      </c>
      <c r="CG3" t="s">
        <v>241</v>
      </c>
      <c r="CJ3" t="s">
        <v>488</v>
      </c>
      <c r="CK3" t="s">
        <v>488</v>
      </c>
      <c r="CL3" t="s">
        <v>488</v>
      </c>
      <c r="CM3" t="s">
        <v>488</v>
      </c>
      <c r="CN3" t="s">
        <v>488</v>
      </c>
      <c r="CO3" t="s">
        <v>488</v>
      </c>
      <c r="CP3" t="s">
        <v>488</v>
      </c>
      <c r="CQ3" t="s">
        <v>488</v>
      </c>
      <c r="CR3" t="s">
        <v>402</v>
      </c>
      <c r="CS3" t="s">
        <v>488</v>
      </c>
      <c r="CT3" t="s">
        <v>488</v>
      </c>
      <c r="CU3" t="s">
        <v>221</v>
      </c>
      <c r="CV3" t="s">
        <v>221</v>
      </c>
      <c r="CW3" t="s">
        <v>239</v>
      </c>
      <c r="CY3" t="s">
        <v>484</v>
      </c>
      <c r="DA3" t="s">
        <v>267</v>
      </c>
      <c r="DB3" t="s">
        <v>503</v>
      </c>
      <c r="DC3" t="s">
        <v>469</v>
      </c>
      <c r="DD3" t="s">
        <v>5</v>
      </c>
      <c r="DE3" t="s">
        <v>488</v>
      </c>
      <c r="DG3" t="s">
        <v>239</v>
      </c>
      <c r="DX3">
        <v>2</v>
      </c>
      <c r="DY3">
        <v>1</v>
      </c>
    </row>
    <row r="4" spans="1:129" x14ac:dyDescent="0.25">
      <c r="A4" t="s">
        <v>0</v>
      </c>
      <c r="B4" t="s">
        <v>463</v>
      </c>
      <c r="C4">
        <v>1</v>
      </c>
      <c r="D4" t="s">
        <v>474</v>
      </c>
      <c r="E4" t="s">
        <v>337</v>
      </c>
      <c r="F4" t="s">
        <v>335</v>
      </c>
      <c r="G4" t="s">
        <v>336</v>
      </c>
      <c r="H4" t="s">
        <v>338</v>
      </c>
      <c r="I4" t="s">
        <v>339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340</v>
      </c>
      <c r="P4" t="s">
        <v>230</v>
      </c>
      <c r="Q4" t="s">
        <v>230</v>
      </c>
      <c r="R4" t="s">
        <v>230</v>
      </c>
      <c r="S4">
        <v>10</v>
      </c>
      <c r="T4" t="s">
        <v>341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456</v>
      </c>
      <c r="AH4" t="s">
        <v>552</v>
      </c>
      <c r="AI4" t="s">
        <v>0</v>
      </c>
      <c r="AJ4" t="s">
        <v>3</v>
      </c>
      <c r="AK4" t="s">
        <v>467</v>
      </c>
      <c r="AL4" t="s">
        <v>468</v>
      </c>
      <c r="AM4" t="s">
        <v>459</v>
      </c>
      <c r="AN4">
        <v>3</v>
      </c>
      <c r="AO4" t="s">
        <v>579</v>
      </c>
      <c r="AP4" t="s">
        <v>693</v>
      </c>
      <c r="AQ4" t="s">
        <v>190</v>
      </c>
      <c r="AU4">
        <v>2</v>
      </c>
      <c r="AV4">
        <v>15</v>
      </c>
      <c r="AW4">
        <v>17</v>
      </c>
      <c r="AX4" t="s">
        <v>191</v>
      </c>
      <c r="BA4" t="s">
        <v>234</v>
      </c>
      <c r="BH4" t="s">
        <v>553</v>
      </c>
      <c r="BJ4">
        <v>3</v>
      </c>
      <c r="BO4" t="s">
        <v>468</v>
      </c>
      <c r="BP4">
        <v>1</v>
      </c>
      <c r="BQ4">
        <v>0.42</v>
      </c>
      <c r="BR4">
        <v>0.39</v>
      </c>
      <c r="BS4">
        <v>0.39</v>
      </c>
      <c r="BT4">
        <v>0.4</v>
      </c>
      <c r="BU4">
        <v>56.3</v>
      </c>
      <c r="BV4" s="5">
        <v>48</v>
      </c>
      <c r="BW4" s="5">
        <v>87</v>
      </c>
      <c r="BX4">
        <v>120</v>
      </c>
      <c r="BY4" t="s">
        <v>467</v>
      </c>
      <c r="BZ4">
        <v>1</v>
      </c>
      <c r="CA4" t="s">
        <v>6</v>
      </c>
      <c r="CB4" s="3">
        <v>77</v>
      </c>
      <c r="CC4" t="s">
        <v>3</v>
      </c>
      <c r="CD4" t="s">
        <v>237</v>
      </c>
      <c r="CF4" t="s">
        <v>237</v>
      </c>
      <c r="CG4" t="s">
        <v>241</v>
      </c>
      <c r="CJ4" t="s">
        <v>488</v>
      </c>
      <c r="CK4" t="s">
        <v>488</v>
      </c>
      <c r="CL4" t="s">
        <v>488</v>
      </c>
      <c r="CM4" t="s">
        <v>488</v>
      </c>
      <c r="CN4" t="s">
        <v>488</v>
      </c>
      <c r="CO4" t="s">
        <v>488</v>
      </c>
      <c r="CP4" t="s">
        <v>488</v>
      </c>
      <c r="CQ4" t="s">
        <v>488</v>
      </c>
      <c r="CR4" t="s">
        <v>402</v>
      </c>
      <c r="CS4" t="s">
        <v>488</v>
      </c>
      <c r="CT4" t="s">
        <v>488</v>
      </c>
      <c r="CU4" t="s">
        <v>221</v>
      </c>
      <c r="CV4" t="s">
        <v>221</v>
      </c>
      <c r="CW4" t="s">
        <v>239</v>
      </c>
      <c r="CY4" t="s">
        <v>484</v>
      </c>
      <c r="DA4" t="s">
        <v>267</v>
      </c>
      <c r="DB4" t="s">
        <v>503</v>
      </c>
      <c r="DC4" t="s">
        <v>469</v>
      </c>
      <c r="DD4" t="s">
        <v>5</v>
      </c>
      <c r="DE4" t="s">
        <v>488</v>
      </c>
      <c r="DG4" t="s">
        <v>239</v>
      </c>
      <c r="DX4">
        <v>3</v>
      </c>
      <c r="DY4">
        <v>1</v>
      </c>
    </row>
    <row r="5" spans="1:129" x14ac:dyDescent="0.25">
      <c r="A5" t="s">
        <v>0</v>
      </c>
      <c r="B5" t="s">
        <v>463</v>
      </c>
      <c r="C5">
        <v>1</v>
      </c>
      <c r="D5" t="s">
        <v>474</v>
      </c>
      <c r="E5" t="s">
        <v>337</v>
      </c>
      <c r="F5" t="s">
        <v>335</v>
      </c>
      <c r="G5" t="s">
        <v>336</v>
      </c>
      <c r="H5" t="s">
        <v>338</v>
      </c>
      <c r="I5" t="s">
        <v>339</v>
      </c>
      <c r="J5" t="s">
        <v>243</v>
      </c>
      <c r="K5" t="s">
        <v>226</v>
      </c>
      <c r="L5" t="s">
        <v>227</v>
      </c>
      <c r="M5" t="s">
        <v>228</v>
      </c>
      <c r="N5" t="s">
        <v>229</v>
      </c>
      <c r="O5" t="s">
        <v>340</v>
      </c>
      <c r="P5" t="s">
        <v>230</v>
      </c>
      <c r="Q5" t="s">
        <v>230</v>
      </c>
      <c r="R5" t="s">
        <v>230</v>
      </c>
      <c r="S5">
        <v>10</v>
      </c>
      <c r="T5" t="s">
        <v>341</v>
      </c>
      <c r="U5">
        <v>45</v>
      </c>
      <c r="V5" t="s">
        <v>295</v>
      </c>
      <c r="W5">
        <v>300</v>
      </c>
      <c r="X5" t="s">
        <v>298</v>
      </c>
      <c r="Y5" t="s">
        <v>247</v>
      </c>
      <c r="Z5" t="s">
        <v>259</v>
      </c>
      <c r="AA5" t="s">
        <v>270</v>
      </c>
      <c r="AB5" t="s">
        <v>278</v>
      </c>
      <c r="AC5" t="s">
        <v>284</v>
      </c>
      <c r="AD5" t="s">
        <v>289</v>
      </c>
      <c r="AE5" t="s">
        <v>293</v>
      </c>
      <c r="AF5" t="s">
        <v>296</v>
      </c>
      <c r="AG5" t="s">
        <v>456</v>
      </c>
      <c r="AH5" t="s">
        <v>589</v>
      </c>
      <c r="AI5" t="s">
        <v>0</v>
      </c>
      <c r="AJ5" t="s">
        <v>342</v>
      </c>
      <c r="AK5" t="s">
        <v>467</v>
      </c>
      <c r="AL5" t="s">
        <v>468</v>
      </c>
      <c r="AM5" t="s">
        <v>459</v>
      </c>
      <c r="AN5">
        <v>4</v>
      </c>
      <c r="AO5" t="s">
        <v>580</v>
      </c>
      <c r="AP5" t="s">
        <v>692</v>
      </c>
      <c r="AQ5" t="s">
        <v>231</v>
      </c>
      <c r="AU5">
        <v>6</v>
      </c>
      <c r="AV5">
        <v>17</v>
      </c>
      <c r="AW5">
        <v>23</v>
      </c>
      <c r="AX5" t="s">
        <v>220</v>
      </c>
      <c r="BH5" t="s">
        <v>553</v>
      </c>
      <c r="BI5" t="s">
        <v>402</v>
      </c>
      <c r="BO5" t="s">
        <v>468</v>
      </c>
      <c r="BP5">
        <v>1</v>
      </c>
      <c r="BQ5">
        <v>0.42</v>
      </c>
      <c r="BR5">
        <v>0.39</v>
      </c>
      <c r="BS5">
        <v>0.39</v>
      </c>
      <c r="BT5">
        <v>0.4</v>
      </c>
      <c r="BU5">
        <v>56.3</v>
      </c>
      <c r="BV5" s="5">
        <v>48</v>
      </c>
      <c r="BW5" s="5">
        <v>87</v>
      </c>
      <c r="BX5">
        <v>120</v>
      </c>
      <c r="BY5" t="s">
        <v>467</v>
      </c>
      <c r="BZ5">
        <v>1</v>
      </c>
      <c r="CA5" t="s">
        <v>6</v>
      </c>
      <c r="CB5" s="3">
        <v>77</v>
      </c>
      <c r="CC5" t="s">
        <v>342</v>
      </c>
      <c r="CD5" t="s">
        <v>4</v>
      </c>
      <c r="CX5" t="s">
        <v>483</v>
      </c>
      <c r="DX5">
        <v>4</v>
      </c>
      <c r="DY5">
        <v>2</v>
      </c>
    </row>
    <row r="6" spans="1:129" x14ac:dyDescent="0.25">
      <c r="A6" t="s">
        <v>470</v>
      </c>
      <c r="B6" t="s">
        <v>463</v>
      </c>
      <c r="C6">
        <v>2</v>
      </c>
      <c r="D6" t="s">
        <v>475</v>
      </c>
      <c r="N6" t="s">
        <v>479</v>
      </c>
      <c r="AH6" t="s">
        <v>592</v>
      </c>
      <c r="AI6" t="s">
        <v>470</v>
      </c>
      <c r="AM6" t="s">
        <v>459</v>
      </c>
      <c r="AN6">
        <v>1</v>
      </c>
      <c r="AO6" t="s">
        <v>581</v>
      </c>
      <c r="AP6" t="s">
        <v>692</v>
      </c>
      <c r="AQ6" t="s">
        <v>248</v>
      </c>
      <c r="AU6">
        <v>8</v>
      </c>
      <c r="AV6">
        <v>0</v>
      </c>
      <c r="AW6">
        <v>8</v>
      </c>
      <c r="AX6" t="s">
        <v>220</v>
      </c>
      <c r="BH6" t="s">
        <v>593</v>
      </c>
      <c r="BI6" t="s">
        <v>402</v>
      </c>
      <c r="BR6"/>
      <c r="BS6"/>
      <c r="BV6" s="5"/>
      <c r="BW6" s="5"/>
      <c r="BX6"/>
      <c r="CB6" s="3"/>
      <c r="DX6">
        <v>5</v>
      </c>
      <c r="DY6">
        <v>3</v>
      </c>
    </row>
    <row r="7" spans="1:129" x14ac:dyDescent="0.25">
      <c r="A7" t="s">
        <v>470</v>
      </c>
      <c r="B7" t="s">
        <v>463</v>
      </c>
      <c r="C7">
        <v>2</v>
      </c>
      <c r="D7" t="s">
        <v>475</v>
      </c>
      <c r="N7" t="s">
        <v>479</v>
      </c>
      <c r="AH7" t="s">
        <v>591</v>
      </c>
      <c r="AI7" t="s">
        <v>470</v>
      </c>
      <c r="AM7" t="s">
        <v>459</v>
      </c>
      <c r="AN7">
        <v>2</v>
      </c>
      <c r="AO7" t="s">
        <v>582</v>
      </c>
      <c r="AP7" t="s">
        <v>693</v>
      </c>
      <c r="AQ7" t="s">
        <v>190</v>
      </c>
      <c r="AU7">
        <v>56</v>
      </c>
      <c r="AV7">
        <v>8</v>
      </c>
      <c r="AW7">
        <v>64</v>
      </c>
      <c r="BH7" t="s">
        <v>553</v>
      </c>
      <c r="BI7" t="s">
        <v>553</v>
      </c>
      <c r="BR7"/>
      <c r="BS7"/>
      <c r="BV7" s="5"/>
      <c r="BW7" s="5"/>
      <c r="BX7"/>
      <c r="CB7" s="3"/>
      <c r="DX7">
        <v>6</v>
      </c>
      <c r="DY7">
        <v>4</v>
      </c>
    </row>
    <row r="8" spans="1:129" x14ac:dyDescent="0.25">
      <c r="A8" t="s">
        <v>470</v>
      </c>
      <c r="B8" t="s">
        <v>463</v>
      </c>
      <c r="C8">
        <v>2</v>
      </c>
      <c r="D8" t="s">
        <v>475</v>
      </c>
      <c r="N8" t="s">
        <v>479</v>
      </c>
      <c r="AH8" t="s">
        <v>590</v>
      </c>
      <c r="AI8" t="s">
        <v>470</v>
      </c>
      <c r="AM8" t="s">
        <v>459</v>
      </c>
      <c r="AN8">
        <v>3</v>
      </c>
      <c r="AO8" t="s">
        <v>583</v>
      </c>
      <c r="AP8" t="s">
        <v>693</v>
      </c>
      <c r="AQ8" t="s">
        <v>190</v>
      </c>
      <c r="AU8">
        <v>5</v>
      </c>
      <c r="AV8">
        <v>64</v>
      </c>
      <c r="AW8">
        <v>69</v>
      </c>
      <c r="BH8" t="s">
        <v>553</v>
      </c>
      <c r="BI8" t="s">
        <v>553</v>
      </c>
      <c r="BR8"/>
      <c r="BS8"/>
      <c r="BV8" s="5"/>
      <c r="BW8" s="5"/>
      <c r="BX8"/>
      <c r="CB8" s="3"/>
      <c r="DX8">
        <v>7</v>
      </c>
      <c r="DY8">
        <v>5</v>
      </c>
    </row>
    <row r="9" spans="1:129" x14ac:dyDescent="0.25">
      <c r="A9" t="s">
        <v>517</v>
      </c>
      <c r="B9" t="s">
        <v>463</v>
      </c>
      <c r="C9">
        <v>12</v>
      </c>
      <c r="D9" t="s">
        <v>518</v>
      </c>
      <c r="AH9" t="s">
        <v>594</v>
      </c>
      <c r="AI9" t="s">
        <v>517</v>
      </c>
      <c r="AM9" t="s">
        <v>459</v>
      </c>
      <c r="AN9">
        <v>2</v>
      </c>
      <c r="AO9" t="s">
        <v>584</v>
      </c>
      <c r="AP9" t="s">
        <v>692</v>
      </c>
      <c r="AQ9" t="s">
        <v>231</v>
      </c>
      <c r="AU9">
        <v>2</v>
      </c>
      <c r="AV9">
        <v>0</v>
      </c>
      <c r="AW9">
        <v>2</v>
      </c>
      <c r="BH9" t="s">
        <v>553</v>
      </c>
      <c r="BI9" t="s">
        <v>553</v>
      </c>
      <c r="BR9"/>
      <c r="BS9"/>
      <c r="BV9" s="5"/>
      <c r="BW9" s="5"/>
      <c r="BX9"/>
      <c r="CB9" s="3"/>
      <c r="DX9">
        <v>8</v>
      </c>
      <c r="DY9">
        <v>6</v>
      </c>
    </row>
    <row r="10" spans="1:129" x14ac:dyDescent="0.25">
      <c r="A10" t="s">
        <v>517</v>
      </c>
      <c r="B10" t="s">
        <v>463</v>
      </c>
      <c r="C10">
        <v>12</v>
      </c>
      <c r="D10" t="s">
        <v>518</v>
      </c>
      <c r="AH10" t="s">
        <v>596</v>
      </c>
      <c r="AI10" t="s">
        <v>517</v>
      </c>
      <c r="AM10" t="s">
        <v>459</v>
      </c>
      <c r="AN10">
        <v>3</v>
      </c>
      <c r="AO10" t="s">
        <v>585</v>
      </c>
      <c r="AP10" t="s">
        <v>693</v>
      </c>
      <c r="AQ10" t="s">
        <v>190</v>
      </c>
      <c r="AU10">
        <v>3</v>
      </c>
      <c r="AV10">
        <v>2</v>
      </c>
      <c r="AW10">
        <v>5</v>
      </c>
      <c r="BH10" t="s">
        <v>553</v>
      </c>
      <c r="BI10" t="s">
        <v>553</v>
      </c>
      <c r="BR10"/>
      <c r="BS10"/>
      <c r="BV10" s="5"/>
      <c r="BW10" s="5"/>
      <c r="BX10"/>
      <c r="CB10" s="3"/>
      <c r="DX10">
        <v>9</v>
      </c>
      <c r="DY10">
        <v>7</v>
      </c>
    </row>
    <row r="11" spans="1:129" x14ac:dyDescent="0.25">
      <c r="A11" t="s">
        <v>517</v>
      </c>
      <c r="B11" t="s">
        <v>463</v>
      </c>
      <c r="C11">
        <v>12</v>
      </c>
      <c r="D11" t="s">
        <v>518</v>
      </c>
      <c r="AH11" t="s">
        <v>595</v>
      </c>
      <c r="AI11" t="s">
        <v>517</v>
      </c>
      <c r="AM11" t="s">
        <v>459</v>
      </c>
      <c r="AN11">
        <v>4</v>
      </c>
      <c r="AO11" t="s">
        <v>586</v>
      </c>
      <c r="AP11" t="s">
        <v>693</v>
      </c>
      <c r="AQ11" t="s">
        <v>190</v>
      </c>
      <c r="AU11">
        <v>1</v>
      </c>
      <c r="AV11">
        <v>5</v>
      </c>
      <c r="AW11">
        <v>6</v>
      </c>
      <c r="BH11" t="s">
        <v>553</v>
      </c>
      <c r="BI11" t="s">
        <v>553</v>
      </c>
      <c r="BR11"/>
      <c r="BS11"/>
      <c r="BV11" s="5"/>
      <c r="BW11" s="5"/>
      <c r="BX11"/>
      <c r="CB11" s="3"/>
      <c r="DX11">
        <v>10</v>
      </c>
      <c r="DY11">
        <v>8</v>
      </c>
    </row>
    <row r="12" spans="1:129" x14ac:dyDescent="0.25">
      <c r="A12" t="s">
        <v>443</v>
      </c>
      <c r="B12" t="s">
        <v>462</v>
      </c>
      <c r="C12">
        <v>0</v>
      </c>
      <c r="D12" t="s">
        <v>519</v>
      </c>
      <c r="AH12" t="s">
        <v>465</v>
      </c>
      <c r="AI12" t="s">
        <v>443</v>
      </c>
      <c r="AM12" t="s">
        <v>459</v>
      </c>
      <c r="AN12">
        <v>1</v>
      </c>
      <c r="AO12" t="s">
        <v>587</v>
      </c>
      <c r="AQ12" t="s">
        <v>299</v>
      </c>
      <c r="AU12">
        <v>2</v>
      </c>
      <c r="AV12">
        <v>0</v>
      </c>
      <c r="AW12">
        <v>2</v>
      </c>
      <c r="BR12"/>
      <c r="BS12"/>
      <c r="BV12" s="5"/>
      <c r="BW12" s="5"/>
      <c r="BX12"/>
      <c r="CB12" s="3"/>
      <c r="DX12">
        <v>11</v>
      </c>
      <c r="DY12">
        <v>9</v>
      </c>
    </row>
    <row r="13" spans="1:129" x14ac:dyDescent="0.25">
      <c r="A13" t="s">
        <v>2</v>
      </c>
      <c r="B13" t="s">
        <v>462</v>
      </c>
      <c r="C13">
        <v>1</v>
      </c>
      <c r="D13" t="s">
        <v>477</v>
      </c>
      <c r="AH13" t="s">
        <v>466</v>
      </c>
      <c r="AI13" t="s">
        <v>2</v>
      </c>
      <c r="AJ13" t="s">
        <v>342</v>
      </c>
      <c r="AM13" t="s">
        <v>459</v>
      </c>
      <c r="AN13">
        <v>1</v>
      </c>
      <c r="AO13" t="s">
        <v>588</v>
      </c>
      <c r="AQ13" t="s">
        <v>299</v>
      </c>
      <c r="AU13">
        <v>3</v>
      </c>
      <c r="AV13">
        <v>0</v>
      </c>
      <c r="AW13">
        <v>3</v>
      </c>
      <c r="BR13"/>
      <c r="BS13"/>
      <c r="BV13" s="5"/>
      <c r="BW13" s="5"/>
      <c r="BX13"/>
      <c r="CB13" s="3"/>
      <c r="CC13" t="s">
        <v>342</v>
      </c>
      <c r="CD13" t="s">
        <v>4</v>
      </c>
      <c r="CX13" t="s">
        <v>483</v>
      </c>
      <c r="DJ13" t="s">
        <v>352</v>
      </c>
      <c r="DK13" t="s">
        <v>295</v>
      </c>
      <c r="DM13" t="s">
        <v>353</v>
      </c>
      <c r="DN13" t="s">
        <v>352</v>
      </c>
      <c r="DO13" t="s">
        <v>354</v>
      </c>
      <c r="DQ13" t="s">
        <v>408</v>
      </c>
      <c r="DX13">
        <v>12</v>
      </c>
      <c r="DY13">
        <v>10</v>
      </c>
    </row>
    <row r="14" spans="1:129" x14ac:dyDescent="0.25">
      <c r="A14" t="s">
        <v>1</v>
      </c>
      <c r="B14" t="s">
        <v>458</v>
      </c>
      <c r="C14">
        <v>1</v>
      </c>
      <c r="D14" t="s">
        <v>476</v>
      </c>
      <c r="E14" t="s">
        <v>345</v>
      </c>
      <c r="F14" t="s">
        <v>335</v>
      </c>
      <c r="G14" t="s">
        <v>346</v>
      </c>
      <c r="H14" t="s">
        <v>338</v>
      </c>
      <c r="I14" t="s">
        <v>339</v>
      </c>
      <c r="AH14" t="s">
        <v>440</v>
      </c>
      <c r="AI14" t="s">
        <v>1</v>
      </c>
      <c r="AJ14" t="s">
        <v>3</v>
      </c>
      <c r="AM14" t="s">
        <v>464</v>
      </c>
      <c r="AN14">
        <v>1</v>
      </c>
      <c r="AO14" t="s">
        <v>696</v>
      </c>
      <c r="AQ14" t="s">
        <v>312</v>
      </c>
      <c r="AR14" t="s">
        <v>344</v>
      </c>
      <c r="AS14" t="s">
        <v>343</v>
      </c>
      <c r="AZ14" t="s">
        <v>348</v>
      </c>
      <c r="BA14" t="s">
        <v>234</v>
      </c>
      <c r="BF14" t="s">
        <v>349</v>
      </c>
      <c r="BG14" t="s">
        <v>232</v>
      </c>
      <c r="BH14" t="s">
        <v>347</v>
      </c>
      <c r="BI14" t="s">
        <v>303</v>
      </c>
      <c r="BR14"/>
      <c r="BS14"/>
      <c r="BV14" s="5"/>
      <c r="BW14" s="5"/>
      <c r="BX14"/>
      <c r="CB14" s="3"/>
      <c r="CC14" t="s">
        <v>3</v>
      </c>
      <c r="CD14" t="s">
        <v>237</v>
      </c>
      <c r="CF14" t="s">
        <v>237</v>
      </c>
      <c r="CG14" t="s">
        <v>241</v>
      </c>
      <c r="CJ14" t="s">
        <v>488</v>
      </c>
      <c r="CK14" t="s">
        <v>488</v>
      </c>
      <c r="CL14" t="s">
        <v>488</v>
      </c>
      <c r="CM14" t="s">
        <v>488</v>
      </c>
      <c r="CN14" t="s">
        <v>488</v>
      </c>
      <c r="CO14" t="s">
        <v>488</v>
      </c>
      <c r="CP14" t="s">
        <v>488</v>
      </c>
      <c r="CQ14" t="s">
        <v>488</v>
      </c>
      <c r="CR14" t="s">
        <v>402</v>
      </c>
      <c r="CS14" t="s">
        <v>488</v>
      </c>
      <c r="CT14" t="s">
        <v>488</v>
      </c>
      <c r="CU14" t="s">
        <v>221</v>
      </c>
      <c r="CV14" t="s">
        <v>221</v>
      </c>
      <c r="CW14" t="s">
        <v>239</v>
      </c>
      <c r="CY14" t="s">
        <v>484</v>
      </c>
      <c r="DA14" t="s">
        <v>267</v>
      </c>
      <c r="DB14" t="s">
        <v>503</v>
      </c>
      <c r="DC14" t="s">
        <v>469</v>
      </c>
      <c r="DD14" t="s">
        <v>5</v>
      </c>
      <c r="DE14" t="s">
        <v>488</v>
      </c>
      <c r="DG14" t="s">
        <v>239</v>
      </c>
      <c r="DH14">
        <v>450</v>
      </c>
      <c r="DI14">
        <v>9</v>
      </c>
      <c r="DX14">
        <v>13</v>
      </c>
      <c r="DY14">
        <v>11</v>
      </c>
    </row>
    <row r="15" spans="1:129" x14ac:dyDescent="0.25">
      <c r="A15" t="s">
        <v>1</v>
      </c>
      <c r="B15" t="s">
        <v>458</v>
      </c>
      <c r="C15">
        <v>1</v>
      </c>
      <c r="D15" t="s">
        <v>476</v>
      </c>
      <c r="E15" t="s">
        <v>345</v>
      </c>
      <c r="F15" t="s">
        <v>335</v>
      </c>
      <c r="G15" t="s">
        <v>346</v>
      </c>
      <c r="H15" t="s">
        <v>338</v>
      </c>
      <c r="I15" t="s">
        <v>339</v>
      </c>
      <c r="AH15" t="s">
        <v>451</v>
      </c>
      <c r="AI15" t="s">
        <v>1</v>
      </c>
      <c r="AJ15" t="s">
        <v>342</v>
      </c>
      <c r="AM15" t="s">
        <v>464</v>
      </c>
      <c r="AN15">
        <v>2</v>
      </c>
      <c r="AO15" t="s">
        <v>697</v>
      </c>
      <c r="AQ15" t="s">
        <v>312</v>
      </c>
      <c r="AR15" t="s">
        <v>442</v>
      </c>
      <c r="AS15" t="s">
        <v>444</v>
      </c>
      <c r="AT15" t="s">
        <v>446</v>
      </c>
      <c r="AX15" t="s">
        <v>220</v>
      </c>
      <c r="AZ15" t="s">
        <v>441</v>
      </c>
      <c r="BA15" t="s">
        <v>263</v>
      </c>
      <c r="BG15" t="s">
        <v>215</v>
      </c>
      <c r="BH15" t="s">
        <v>442</v>
      </c>
      <c r="BI15" t="s">
        <v>445</v>
      </c>
      <c r="BR15"/>
      <c r="BS15"/>
      <c r="BV15" s="5"/>
      <c r="BW15" s="5"/>
      <c r="BX15"/>
      <c r="CB15" s="3"/>
      <c r="CC15" t="s">
        <v>342</v>
      </c>
      <c r="CD15" t="s">
        <v>4</v>
      </c>
      <c r="CX15" t="s">
        <v>483</v>
      </c>
      <c r="DH15">
        <v>250</v>
      </c>
      <c r="DI15">
        <v>7</v>
      </c>
      <c r="DX15">
        <v>14</v>
      </c>
      <c r="DY15">
        <v>12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460</v>
      </c>
      <c r="C1" t="s">
        <v>14</v>
      </c>
      <c r="D1" s="18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304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461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433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490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334</v>
      </c>
      <c r="AN1" t="s">
        <v>179</v>
      </c>
      <c r="AO1" t="s">
        <v>438</v>
      </c>
      <c r="AP1" t="s">
        <v>439</v>
      </c>
      <c r="AQ1" t="s">
        <v>180</v>
      </c>
      <c r="AR1" t="s">
        <v>183</v>
      </c>
      <c r="AS1" t="s">
        <v>434</v>
      </c>
      <c r="AT1" t="s">
        <v>435</v>
      </c>
      <c r="AU1" t="s">
        <v>156</v>
      </c>
      <c r="AV1" t="s">
        <v>157</v>
      </c>
      <c r="AW1" t="s">
        <v>333</v>
      </c>
      <c r="AX1" t="s">
        <v>485</v>
      </c>
      <c r="AY1" t="s">
        <v>486</v>
      </c>
      <c r="AZ1" t="s">
        <v>487</v>
      </c>
      <c r="BA1" t="s">
        <v>158</v>
      </c>
      <c r="BB1" t="s">
        <v>159</v>
      </c>
      <c r="BC1" t="s">
        <v>160</v>
      </c>
      <c r="BD1" t="s">
        <v>161</v>
      </c>
      <c r="BE1" t="s">
        <v>351</v>
      </c>
      <c r="BF1" t="s">
        <v>454</v>
      </c>
      <c r="BG1" t="s">
        <v>155</v>
      </c>
    </row>
    <row r="2" spans="1:59" x14ac:dyDescent="0.25">
      <c r="A2" t="s">
        <v>443</v>
      </c>
      <c r="B2" t="s">
        <v>462</v>
      </c>
      <c r="C2">
        <v>0</v>
      </c>
      <c r="D2" t="s">
        <v>519</v>
      </c>
      <c r="M2" t="s">
        <v>465</v>
      </c>
      <c r="N2" t="s">
        <v>443</v>
      </c>
      <c r="P2" t="s">
        <v>459</v>
      </c>
      <c r="Q2">
        <v>1</v>
      </c>
      <c r="R2" t="s">
        <v>299</v>
      </c>
      <c r="U2">
        <v>2</v>
      </c>
      <c r="V2">
        <v>0</v>
      </c>
      <c r="W2">
        <v>2</v>
      </c>
    </row>
    <row r="3" spans="1:59" x14ac:dyDescent="0.25">
      <c r="A3" t="s">
        <v>2</v>
      </c>
      <c r="B3" t="s">
        <v>462</v>
      </c>
      <c r="C3">
        <v>1</v>
      </c>
      <c r="D3" t="s">
        <v>477</v>
      </c>
      <c r="E3" t="s">
        <v>352</v>
      </c>
      <c r="F3" t="s">
        <v>295</v>
      </c>
      <c r="H3" t="s">
        <v>353</v>
      </c>
      <c r="I3" t="s">
        <v>352</v>
      </c>
      <c r="J3" t="s">
        <v>354</v>
      </c>
      <c r="L3" t="s">
        <v>408</v>
      </c>
      <c r="M3" t="s">
        <v>466</v>
      </c>
      <c r="N3" t="s">
        <v>2</v>
      </c>
      <c r="O3" t="s">
        <v>342</v>
      </c>
      <c r="P3" t="s">
        <v>459</v>
      </c>
      <c r="Q3">
        <v>1</v>
      </c>
      <c r="R3" t="s">
        <v>299</v>
      </c>
      <c r="U3">
        <v>3</v>
      </c>
      <c r="V3">
        <v>0</v>
      </c>
      <c r="W3">
        <v>3</v>
      </c>
      <c r="AC3" t="s">
        <v>342</v>
      </c>
      <c r="AD3" t="s">
        <v>4</v>
      </c>
      <c r="AX3" t="s">
        <v>483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9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460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461</v>
      </c>
      <c r="N1" t="s">
        <v>122</v>
      </c>
      <c r="O1" t="s">
        <v>123</v>
      </c>
      <c r="P1" t="s">
        <v>124</v>
      </c>
      <c r="Q1" s="9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490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334</v>
      </c>
      <c r="AM1" t="s">
        <v>179</v>
      </c>
      <c r="AN1" t="s">
        <v>438</v>
      </c>
      <c r="AO1" t="s">
        <v>439</v>
      </c>
      <c r="AP1" t="s">
        <v>180</v>
      </c>
      <c r="AQ1" t="s">
        <v>183</v>
      </c>
      <c r="AR1" t="s">
        <v>434</v>
      </c>
      <c r="AS1" t="s">
        <v>435</v>
      </c>
      <c r="AT1" t="s">
        <v>156</v>
      </c>
      <c r="AU1" t="s">
        <v>157</v>
      </c>
      <c r="AV1" t="s">
        <v>333</v>
      </c>
      <c r="AW1" t="s">
        <v>485</v>
      </c>
      <c r="AX1" t="s">
        <v>486</v>
      </c>
      <c r="AY1" t="s">
        <v>487</v>
      </c>
      <c r="AZ1" t="s">
        <v>158</v>
      </c>
      <c r="BA1" t="s">
        <v>159</v>
      </c>
      <c r="BB1" t="s">
        <v>160</v>
      </c>
      <c r="BC1" t="s">
        <v>161</v>
      </c>
      <c r="BD1" t="s">
        <v>351</v>
      </c>
      <c r="BE1" t="s">
        <v>454</v>
      </c>
      <c r="BF1" t="s">
        <v>155</v>
      </c>
    </row>
    <row r="2" spans="1:58" x14ac:dyDescent="0.25">
      <c r="A2" t="s">
        <v>1</v>
      </c>
      <c r="B2" t="s">
        <v>458</v>
      </c>
      <c r="C2">
        <v>1</v>
      </c>
      <c r="D2" t="s">
        <v>476</v>
      </c>
      <c r="E2" t="s">
        <v>345</v>
      </c>
      <c r="F2" t="s">
        <v>335</v>
      </c>
      <c r="G2" t="s">
        <v>346</v>
      </c>
      <c r="H2" t="s">
        <v>338</v>
      </c>
      <c r="I2" t="s">
        <v>339</v>
      </c>
      <c r="J2" t="s">
        <v>451</v>
      </c>
      <c r="K2" t="s">
        <v>1</v>
      </c>
      <c r="L2" t="s">
        <v>342</v>
      </c>
      <c r="M2" t="s">
        <v>464</v>
      </c>
      <c r="N2">
        <v>2</v>
      </c>
      <c r="O2" t="s">
        <v>312</v>
      </c>
      <c r="P2" t="s">
        <v>442</v>
      </c>
      <c r="Q2" s="9" t="s">
        <v>444</v>
      </c>
      <c r="R2" t="s">
        <v>442</v>
      </c>
      <c r="S2">
        <v>250</v>
      </c>
      <c r="T2">
        <v>7</v>
      </c>
      <c r="U2" t="s">
        <v>215</v>
      </c>
      <c r="V2" t="s">
        <v>441</v>
      </c>
      <c r="W2" t="s">
        <v>445</v>
      </c>
      <c r="X2" t="s">
        <v>446</v>
      </c>
      <c r="Y2" t="s">
        <v>220</v>
      </c>
      <c r="Z2" t="s">
        <v>263</v>
      </c>
      <c r="AB2" t="s">
        <v>342</v>
      </c>
      <c r="AC2" t="s">
        <v>4</v>
      </c>
      <c r="AW2" t="s">
        <v>483</v>
      </c>
    </row>
    <row r="3" spans="1:58" x14ac:dyDescent="0.25">
      <c r="A3" t="s">
        <v>1</v>
      </c>
      <c r="B3" t="s">
        <v>458</v>
      </c>
      <c r="C3">
        <v>1</v>
      </c>
      <c r="D3" t="s">
        <v>476</v>
      </c>
      <c r="E3" t="s">
        <v>345</v>
      </c>
      <c r="F3" t="s">
        <v>335</v>
      </c>
      <c r="G3" t="s">
        <v>346</v>
      </c>
      <c r="H3" t="s">
        <v>338</v>
      </c>
      <c r="I3" t="s">
        <v>339</v>
      </c>
      <c r="J3" t="s">
        <v>440</v>
      </c>
      <c r="K3" t="s">
        <v>1</v>
      </c>
      <c r="L3" t="s">
        <v>3</v>
      </c>
      <c r="M3" t="s">
        <v>464</v>
      </c>
      <c r="N3">
        <v>1</v>
      </c>
      <c r="O3" t="s">
        <v>312</v>
      </c>
      <c r="P3" t="s">
        <v>344</v>
      </c>
      <c r="Q3" s="9" t="s">
        <v>343</v>
      </c>
      <c r="R3" t="s">
        <v>347</v>
      </c>
      <c r="S3">
        <v>450</v>
      </c>
      <c r="T3">
        <v>9</v>
      </c>
      <c r="U3" t="s">
        <v>232</v>
      </c>
      <c r="V3" t="s">
        <v>348</v>
      </c>
      <c r="W3" t="s">
        <v>303</v>
      </c>
      <c r="Z3" t="s">
        <v>234</v>
      </c>
      <c r="AA3" t="s">
        <v>349</v>
      </c>
      <c r="AB3" t="s">
        <v>3</v>
      </c>
      <c r="AC3" t="s">
        <v>237</v>
      </c>
      <c r="AE3" t="s">
        <v>237</v>
      </c>
      <c r="AF3" t="s">
        <v>241</v>
      </c>
      <c r="AI3" t="s">
        <v>488</v>
      </c>
      <c r="AJ3" t="s">
        <v>488</v>
      </c>
      <c r="AK3" t="s">
        <v>488</v>
      </c>
      <c r="AL3" t="s">
        <v>488</v>
      </c>
      <c r="AM3" t="s">
        <v>488</v>
      </c>
      <c r="AN3" t="s">
        <v>488</v>
      </c>
      <c r="AO3" t="s">
        <v>488</v>
      </c>
      <c r="AP3" t="s">
        <v>488</v>
      </c>
      <c r="AQ3" t="s">
        <v>402</v>
      </c>
      <c r="AR3" t="s">
        <v>488</v>
      </c>
      <c r="AS3" t="s">
        <v>488</v>
      </c>
      <c r="AT3" t="s">
        <v>221</v>
      </c>
      <c r="AU3" t="s">
        <v>221</v>
      </c>
      <c r="AV3" t="s">
        <v>239</v>
      </c>
      <c r="AX3" t="s">
        <v>484</v>
      </c>
      <c r="AZ3" t="s">
        <v>267</v>
      </c>
      <c r="BA3" t="s">
        <v>503</v>
      </c>
      <c r="BB3" t="s">
        <v>469</v>
      </c>
      <c r="BC3" t="s">
        <v>5</v>
      </c>
      <c r="BD3" t="s">
        <v>488</v>
      </c>
      <c r="BF3" t="s">
        <v>239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F11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21.85546875" bestFit="1" customWidth="1"/>
    <col min="43" max="43" width="14.42578125" bestFit="1" customWidth="1"/>
    <col min="44" max="44" width="21.5703125" bestFit="1" customWidth="1"/>
    <col min="45" max="45" width="23.85546875" bestFit="1" customWidth="1"/>
    <col min="46" max="46" width="16.140625" bestFit="1" customWidth="1"/>
    <col min="47" max="47" width="22.140625" bestFit="1" customWidth="1"/>
    <col min="48" max="48" width="21.42578125" bestFit="1" customWidth="1"/>
    <col min="49" max="49" width="15.5703125" bestFit="1" customWidth="1"/>
    <col min="50" max="50" width="40.140625" bestFit="1" customWidth="1"/>
    <col min="51" max="51" width="16.5703125" bestFit="1" customWidth="1"/>
    <col min="52" max="52" width="20.85546875" bestFit="1" customWidth="1"/>
    <col min="53" max="53" width="22.140625" bestFit="1" customWidth="1"/>
    <col min="54" max="54" width="23.85546875" bestFit="1" customWidth="1"/>
    <col min="55" max="55" width="25.5703125" bestFit="1" customWidth="1"/>
    <col min="56" max="56" width="27.140625" bestFit="1" customWidth="1"/>
    <col min="57" max="57" width="16.42578125" bestFit="1" customWidth="1"/>
    <col min="58" max="58" width="21.7109375" bestFit="1" customWidth="1"/>
    <col min="59" max="59" width="21" bestFit="1" customWidth="1"/>
    <col min="60" max="60" width="18.5703125" bestFit="1" customWidth="1"/>
    <col min="61" max="61" width="37.28515625" bestFit="1" customWidth="1"/>
    <col min="62" max="62" width="27.140625" bestFit="1" customWidth="1"/>
    <col min="63" max="63" width="40.42578125" bestFit="1" customWidth="1"/>
    <col min="64" max="64" width="35.85546875" bestFit="1" customWidth="1"/>
    <col min="65" max="65" width="28.42578125" bestFit="1" customWidth="1"/>
    <col min="66" max="66" width="19.28515625" bestFit="1" customWidth="1"/>
    <col min="67" max="67" width="26.28515625" bestFit="1" customWidth="1"/>
    <col min="68" max="69" width="24.7109375" bestFit="1" customWidth="1"/>
    <col min="70" max="70" width="24.7109375" style="5" bestFit="1" customWidth="1"/>
    <col min="71" max="71" width="29.140625" style="5" bestFit="1" customWidth="1"/>
    <col min="72" max="72" width="19.7109375" bestFit="1" customWidth="1"/>
    <col min="73" max="73" width="21.7109375" bestFit="1" customWidth="1"/>
    <col min="74" max="74" width="20.7109375" bestFit="1" customWidth="1"/>
    <col min="75" max="75" width="26" bestFit="1" customWidth="1"/>
    <col min="76" max="76" width="21" style="3" bestFit="1" customWidth="1"/>
    <col min="77" max="77" width="28" bestFit="1" customWidth="1"/>
    <col min="78" max="78" width="30.140625" bestFit="1" customWidth="1"/>
    <col min="79" max="79" width="24.42578125" bestFit="1" customWidth="1"/>
    <col min="80" max="80" width="27.5703125" bestFit="1" customWidth="1"/>
    <col min="81" max="81" width="31.42578125" bestFit="1" customWidth="1"/>
    <col min="82" max="82" width="43.5703125" bestFit="1" customWidth="1"/>
    <col min="83" max="83" width="33.140625" bestFit="1" customWidth="1"/>
    <col min="84" max="84" width="32.28515625" bestFit="1" customWidth="1"/>
    <col min="85" max="85" width="29.85546875" bestFit="1" customWidth="1"/>
    <col min="86" max="86" width="29.42578125" bestFit="1" customWidth="1"/>
    <col min="87" max="87" width="29.28515625" bestFit="1" customWidth="1"/>
    <col min="88" max="88" width="30.140625" bestFit="1" customWidth="1"/>
    <col min="89" max="89" width="29.42578125" bestFit="1" customWidth="1"/>
    <col min="90" max="90" width="34.140625" bestFit="1" customWidth="1"/>
    <col min="91" max="91" width="40.140625" bestFit="1" customWidth="1"/>
    <col min="92" max="93" width="39.42578125" bestFit="1" customWidth="1"/>
    <col min="94" max="94" width="32.42578125" bestFit="1" customWidth="1"/>
    <col min="95" max="95" width="48" bestFit="1" customWidth="1"/>
    <col min="96" max="96" width="31.140625" bestFit="1" customWidth="1"/>
    <col min="97" max="97" width="30.7109375" bestFit="1" customWidth="1"/>
    <col min="98" max="98" width="34.42578125" bestFit="1" customWidth="1"/>
    <col min="99" max="99" width="34.140625" bestFit="1" customWidth="1"/>
    <col min="100" max="100" width="55.42578125" bestFit="1" customWidth="1"/>
    <col min="101" max="101" width="36.7109375" bestFit="1" customWidth="1"/>
    <col min="102" max="102" width="41.28515625" bestFit="1" customWidth="1"/>
    <col min="103" max="103" width="52.7109375" bestFit="1" customWidth="1"/>
    <col min="104" max="104" width="36.28515625" bestFit="1" customWidth="1"/>
    <col min="105" max="105" width="30.5703125" bestFit="1" customWidth="1"/>
    <col min="106" max="106" width="46" bestFit="1" customWidth="1"/>
    <col min="107" max="107" width="30.5703125" bestFit="1" customWidth="1"/>
    <col min="108" max="108" width="31" bestFit="1" customWidth="1"/>
    <col min="109" max="109" width="43.140625" bestFit="1" customWidth="1"/>
    <col min="110" max="111" width="28.7109375" customWidth="1"/>
    <col min="112" max="112" width="28.85546875" customWidth="1"/>
  </cols>
  <sheetData>
    <row r="1" spans="1:110" x14ac:dyDescent="0.25">
      <c r="A1" t="s">
        <v>13</v>
      </c>
      <c r="B1" t="s">
        <v>460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323</v>
      </c>
      <c r="Y1" t="s">
        <v>324</v>
      </c>
      <c r="Z1" t="s">
        <v>325</v>
      </c>
      <c r="AA1" t="s">
        <v>326</v>
      </c>
      <c r="AB1" t="s">
        <v>327</v>
      </c>
      <c r="AC1" t="s">
        <v>328</v>
      </c>
      <c r="AD1" t="s">
        <v>329</v>
      </c>
      <c r="AE1" t="s">
        <v>330</v>
      </c>
      <c r="AF1" t="s">
        <v>331</v>
      </c>
      <c r="AG1" t="s">
        <v>332</v>
      </c>
      <c r="AH1" t="s">
        <v>20</v>
      </c>
      <c r="AI1" t="s">
        <v>21</v>
      </c>
      <c r="AJ1" t="s">
        <v>22</v>
      </c>
      <c r="AK1" t="s">
        <v>25</v>
      </c>
      <c r="AL1" t="s">
        <v>455</v>
      </c>
      <c r="AM1" t="s">
        <v>461</v>
      </c>
      <c r="AN1" t="s">
        <v>122</v>
      </c>
      <c r="AO1" t="s">
        <v>123</v>
      </c>
      <c r="AP1" t="s">
        <v>695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305</v>
      </c>
      <c r="BU1" s="5" t="s">
        <v>306</v>
      </c>
      <c r="BV1" s="5" t="s">
        <v>307</v>
      </c>
      <c r="BW1" t="s">
        <v>308</v>
      </c>
      <c r="BX1" t="s">
        <v>28</v>
      </c>
      <c r="BY1" t="s">
        <v>170</v>
      </c>
      <c r="BZ1" t="s">
        <v>171</v>
      </c>
      <c r="CA1" s="3" t="s">
        <v>172</v>
      </c>
      <c r="CB1" t="s">
        <v>26</v>
      </c>
      <c r="CC1" t="s">
        <v>153</v>
      </c>
      <c r="CD1" t="s">
        <v>154</v>
      </c>
      <c r="CE1" t="s">
        <v>490</v>
      </c>
      <c r="CF1" t="s">
        <v>162</v>
      </c>
      <c r="CG1" t="s">
        <v>181</v>
      </c>
      <c r="CH1" t="s">
        <v>182</v>
      </c>
      <c r="CI1" t="s">
        <v>163</v>
      </c>
      <c r="CJ1" t="s">
        <v>164</v>
      </c>
      <c r="CK1" t="s">
        <v>178</v>
      </c>
      <c r="CL1" t="s">
        <v>334</v>
      </c>
      <c r="CM1" t="s">
        <v>179</v>
      </c>
      <c r="CN1" t="s">
        <v>438</v>
      </c>
      <c r="CO1" t="s">
        <v>439</v>
      </c>
      <c r="CP1" t="s">
        <v>180</v>
      </c>
      <c r="CQ1" t="s">
        <v>183</v>
      </c>
      <c r="CR1" t="s">
        <v>434</v>
      </c>
      <c r="CS1" t="s">
        <v>435</v>
      </c>
      <c r="CT1" t="s">
        <v>156</v>
      </c>
      <c r="CU1" t="s">
        <v>157</v>
      </c>
      <c r="CV1" t="s">
        <v>333</v>
      </c>
      <c r="CW1" t="s">
        <v>485</v>
      </c>
      <c r="CX1" t="s">
        <v>486</v>
      </c>
      <c r="CY1" t="s">
        <v>487</v>
      </c>
      <c r="CZ1" t="s">
        <v>158</v>
      </c>
      <c r="DA1" t="s">
        <v>159</v>
      </c>
      <c r="DB1" t="s">
        <v>160</v>
      </c>
      <c r="DC1" t="s">
        <v>161</v>
      </c>
      <c r="DD1" t="s">
        <v>351</v>
      </c>
      <c r="DE1" t="s">
        <v>454</v>
      </c>
      <c r="DF1" t="s">
        <v>155</v>
      </c>
    </row>
    <row r="2" spans="1:110" x14ac:dyDescent="0.25">
      <c r="A2" t="s">
        <v>0</v>
      </c>
      <c r="B2" t="s">
        <v>463</v>
      </c>
      <c r="C2">
        <v>1</v>
      </c>
      <c r="D2" s="18">
        <v>44792</v>
      </c>
      <c r="E2" t="s">
        <v>337</v>
      </c>
      <c r="F2" t="s">
        <v>335</v>
      </c>
      <c r="G2" t="s">
        <v>336</v>
      </c>
      <c r="H2" t="s">
        <v>338</v>
      </c>
      <c r="I2" t="s">
        <v>339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340</v>
      </c>
      <c r="P2" t="s">
        <v>230</v>
      </c>
      <c r="Q2" t="s">
        <v>230</v>
      </c>
      <c r="R2" t="s">
        <v>230</v>
      </c>
      <c r="S2">
        <v>10</v>
      </c>
      <c r="T2" t="s">
        <v>341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456</v>
      </c>
      <c r="AH2" t="s">
        <v>478</v>
      </c>
      <c r="AI2" t="s">
        <v>0</v>
      </c>
      <c r="AJ2" t="s">
        <v>3</v>
      </c>
      <c r="AK2" t="s">
        <v>467</v>
      </c>
      <c r="AM2" t="s">
        <v>459</v>
      </c>
      <c r="AN2">
        <v>2</v>
      </c>
      <c r="AO2" t="s">
        <v>190</v>
      </c>
      <c r="AP2" t="s">
        <v>693</v>
      </c>
      <c r="AQ2" t="s">
        <v>189</v>
      </c>
      <c r="AR2" t="s">
        <v>310</v>
      </c>
      <c r="AT2">
        <v>3</v>
      </c>
      <c r="AU2">
        <v>12</v>
      </c>
      <c r="AV2">
        <v>15</v>
      </c>
      <c r="AW2" t="s">
        <v>191</v>
      </c>
      <c r="AX2" t="s">
        <v>233</v>
      </c>
      <c r="AY2" t="s">
        <v>441</v>
      </c>
      <c r="AZ2" t="s">
        <v>234</v>
      </c>
      <c r="BA2" t="s">
        <v>235</v>
      </c>
      <c r="BB2" t="s">
        <v>236</v>
      </c>
      <c r="BC2">
        <v>2</v>
      </c>
      <c r="BD2">
        <v>2</v>
      </c>
      <c r="BG2" t="s">
        <v>447</v>
      </c>
      <c r="BH2" t="s">
        <v>303</v>
      </c>
      <c r="BI2">
        <v>2</v>
      </c>
      <c r="BJ2" t="s">
        <v>450</v>
      </c>
      <c r="BK2" t="s">
        <v>450</v>
      </c>
      <c r="BL2" t="s">
        <v>191</v>
      </c>
      <c r="BM2" t="s">
        <v>450</v>
      </c>
      <c r="BR2"/>
      <c r="BS2"/>
      <c r="BU2" s="5"/>
      <c r="BV2" s="5"/>
      <c r="BX2" t="s">
        <v>467</v>
      </c>
      <c r="BY2">
        <v>1</v>
      </c>
      <c r="BZ2" t="s">
        <v>6</v>
      </c>
      <c r="CA2" s="3">
        <v>77</v>
      </c>
      <c r="CB2" t="s">
        <v>3</v>
      </c>
      <c r="CC2" t="s">
        <v>237</v>
      </c>
      <c r="CE2" t="s">
        <v>237</v>
      </c>
      <c r="CF2" t="s">
        <v>241</v>
      </c>
      <c r="CI2" t="s">
        <v>488</v>
      </c>
      <c r="CJ2" t="s">
        <v>488</v>
      </c>
      <c r="CK2" t="s">
        <v>488</v>
      </c>
      <c r="CL2" t="s">
        <v>488</v>
      </c>
      <c r="CM2" t="s">
        <v>488</v>
      </c>
      <c r="CN2" t="s">
        <v>488</v>
      </c>
      <c r="CO2" t="s">
        <v>488</v>
      </c>
      <c r="CP2" t="s">
        <v>488</v>
      </c>
      <c r="CQ2" t="s">
        <v>402</v>
      </c>
      <c r="CR2" t="s">
        <v>488</v>
      </c>
      <c r="CS2" t="s">
        <v>488</v>
      </c>
      <c r="CT2" t="s">
        <v>221</v>
      </c>
      <c r="CU2" t="s">
        <v>221</v>
      </c>
      <c r="CV2" t="s">
        <v>239</v>
      </c>
      <c r="CX2" t="s">
        <v>484</v>
      </c>
      <c r="CZ2" t="s">
        <v>267</v>
      </c>
      <c r="DA2" t="s">
        <v>503</v>
      </c>
      <c r="DB2" t="s">
        <v>469</v>
      </c>
      <c r="DC2" t="s">
        <v>5</v>
      </c>
      <c r="DD2" t="s">
        <v>488</v>
      </c>
      <c r="DF2" t="s">
        <v>239</v>
      </c>
    </row>
    <row r="3" spans="1:110" x14ac:dyDescent="0.25">
      <c r="A3" t="s">
        <v>0</v>
      </c>
      <c r="B3" t="s">
        <v>463</v>
      </c>
      <c r="C3">
        <v>1</v>
      </c>
      <c r="D3" s="18">
        <v>44792</v>
      </c>
      <c r="E3" t="s">
        <v>337</v>
      </c>
      <c r="F3" t="s">
        <v>335</v>
      </c>
      <c r="G3" t="s">
        <v>336</v>
      </c>
      <c r="H3" t="s">
        <v>338</v>
      </c>
      <c r="I3" t="s">
        <v>339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340</v>
      </c>
      <c r="P3" t="s">
        <v>230</v>
      </c>
      <c r="Q3" t="s">
        <v>230</v>
      </c>
      <c r="R3" t="s">
        <v>230</v>
      </c>
      <c r="S3">
        <v>10</v>
      </c>
      <c r="T3" t="s">
        <v>341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456</v>
      </c>
      <c r="AH3" t="s">
        <v>552</v>
      </c>
      <c r="AI3" t="s">
        <v>0</v>
      </c>
      <c r="AJ3" t="s">
        <v>3</v>
      </c>
      <c r="AK3" t="s">
        <v>467</v>
      </c>
      <c r="AL3" t="s">
        <v>468</v>
      </c>
      <c r="AM3" t="s">
        <v>459</v>
      </c>
      <c r="AN3">
        <v>3</v>
      </c>
      <c r="AO3" t="s">
        <v>190</v>
      </c>
      <c r="AP3" t="s">
        <v>693</v>
      </c>
      <c r="AT3">
        <v>2</v>
      </c>
      <c r="AU3">
        <v>15</v>
      </c>
      <c r="AV3">
        <v>17</v>
      </c>
      <c r="AW3" t="s">
        <v>191</v>
      </c>
      <c r="AZ3" t="s">
        <v>234</v>
      </c>
      <c r="BG3" t="s">
        <v>553</v>
      </c>
      <c r="BI3">
        <v>3</v>
      </c>
      <c r="BN3" t="s">
        <v>468</v>
      </c>
      <c r="BO3">
        <v>1</v>
      </c>
      <c r="BP3">
        <v>0.42</v>
      </c>
      <c r="BQ3">
        <v>0.39</v>
      </c>
      <c r="BR3">
        <v>0.39</v>
      </c>
      <c r="BS3">
        <v>0.4</v>
      </c>
      <c r="BT3">
        <v>56.3</v>
      </c>
      <c r="BU3" s="5">
        <v>48</v>
      </c>
      <c r="BV3" s="5">
        <v>87</v>
      </c>
      <c r="BW3">
        <v>120</v>
      </c>
      <c r="BX3" t="s">
        <v>467</v>
      </c>
      <c r="BY3">
        <v>1</v>
      </c>
      <c r="BZ3" t="s">
        <v>6</v>
      </c>
      <c r="CA3" s="3">
        <v>77</v>
      </c>
      <c r="CB3" t="s">
        <v>3</v>
      </c>
      <c r="CC3" t="s">
        <v>237</v>
      </c>
      <c r="CE3" t="s">
        <v>237</v>
      </c>
      <c r="CF3" t="s">
        <v>241</v>
      </c>
      <c r="CI3" t="s">
        <v>488</v>
      </c>
      <c r="CJ3" t="s">
        <v>488</v>
      </c>
      <c r="CK3" t="s">
        <v>488</v>
      </c>
      <c r="CL3" t="s">
        <v>488</v>
      </c>
      <c r="CM3" t="s">
        <v>488</v>
      </c>
      <c r="CN3" t="s">
        <v>488</v>
      </c>
      <c r="CO3" t="s">
        <v>488</v>
      </c>
      <c r="CP3" t="s">
        <v>488</v>
      </c>
      <c r="CQ3" t="s">
        <v>402</v>
      </c>
      <c r="CR3" t="s">
        <v>488</v>
      </c>
      <c r="CS3" t="s">
        <v>488</v>
      </c>
      <c r="CT3" t="s">
        <v>221</v>
      </c>
      <c r="CU3" t="s">
        <v>221</v>
      </c>
      <c r="CV3" t="s">
        <v>239</v>
      </c>
      <c r="CX3" t="s">
        <v>484</v>
      </c>
      <c r="CZ3" t="s">
        <v>267</v>
      </c>
      <c r="DA3" t="s">
        <v>503</v>
      </c>
      <c r="DB3" t="s">
        <v>469</v>
      </c>
      <c r="DC3" t="s">
        <v>5</v>
      </c>
      <c r="DD3" t="s">
        <v>488</v>
      </c>
      <c r="DF3" t="s">
        <v>239</v>
      </c>
    </row>
    <row r="4" spans="1:110" x14ac:dyDescent="0.25">
      <c r="A4" t="s">
        <v>0</v>
      </c>
      <c r="B4" t="s">
        <v>463</v>
      </c>
      <c r="C4">
        <v>1</v>
      </c>
      <c r="D4" s="18">
        <v>44792</v>
      </c>
      <c r="E4" t="s">
        <v>337</v>
      </c>
      <c r="F4" t="s">
        <v>335</v>
      </c>
      <c r="G4" t="s">
        <v>336</v>
      </c>
      <c r="H4" t="s">
        <v>338</v>
      </c>
      <c r="I4" t="s">
        <v>339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340</v>
      </c>
      <c r="P4" t="s">
        <v>230</v>
      </c>
      <c r="Q4" t="s">
        <v>230</v>
      </c>
      <c r="R4" t="s">
        <v>230</v>
      </c>
      <c r="S4">
        <v>10</v>
      </c>
      <c r="T4" t="s">
        <v>341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456</v>
      </c>
      <c r="AH4" t="s">
        <v>452</v>
      </c>
      <c r="AI4" t="s">
        <v>0</v>
      </c>
      <c r="AJ4" t="s">
        <v>342</v>
      </c>
      <c r="AK4" t="s">
        <v>467</v>
      </c>
      <c r="AL4" t="s">
        <v>468</v>
      </c>
      <c r="AM4" t="s">
        <v>459</v>
      </c>
      <c r="AN4">
        <v>1</v>
      </c>
      <c r="AO4" t="s">
        <v>190</v>
      </c>
      <c r="AP4" t="s">
        <v>693</v>
      </c>
      <c r="AQ4" t="s">
        <v>189</v>
      </c>
      <c r="AR4" t="s">
        <v>310</v>
      </c>
      <c r="AT4">
        <v>12</v>
      </c>
      <c r="AU4">
        <v>0</v>
      </c>
      <c r="AV4">
        <v>12</v>
      </c>
      <c r="AW4" t="s">
        <v>191</v>
      </c>
      <c r="AX4" t="s">
        <v>216</v>
      </c>
      <c r="AY4" t="s">
        <v>448</v>
      </c>
      <c r="AZ4" t="s">
        <v>217</v>
      </c>
      <c r="BA4" t="s">
        <v>218</v>
      </c>
      <c r="BB4" t="s">
        <v>219</v>
      </c>
      <c r="BC4">
        <v>1</v>
      </c>
      <c r="BD4">
        <v>1</v>
      </c>
      <c r="BG4" t="s">
        <v>447</v>
      </c>
      <c r="BH4" t="s">
        <v>303</v>
      </c>
      <c r="BI4">
        <v>1</v>
      </c>
      <c r="BJ4" t="s">
        <v>449</v>
      </c>
      <c r="BK4" t="s">
        <v>449</v>
      </c>
      <c r="BL4" t="s">
        <v>220</v>
      </c>
      <c r="BM4" t="s">
        <v>449</v>
      </c>
      <c r="BN4" t="s">
        <v>468</v>
      </c>
      <c r="BO4">
        <v>1</v>
      </c>
      <c r="BP4">
        <v>0.42</v>
      </c>
      <c r="BQ4">
        <v>0.39</v>
      </c>
      <c r="BR4">
        <v>0.39</v>
      </c>
      <c r="BS4">
        <v>0.4</v>
      </c>
      <c r="BT4">
        <v>56.3</v>
      </c>
      <c r="BU4" s="5">
        <v>48</v>
      </c>
      <c r="BV4" s="5">
        <v>87</v>
      </c>
      <c r="BW4">
        <v>120</v>
      </c>
      <c r="BX4" t="s">
        <v>467</v>
      </c>
      <c r="BY4">
        <v>1</v>
      </c>
      <c r="BZ4" t="s">
        <v>6</v>
      </c>
      <c r="CA4" s="3">
        <v>77</v>
      </c>
      <c r="CB4" t="s">
        <v>342</v>
      </c>
      <c r="CC4" t="s">
        <v>4</v>
      </c>
      <c r="CW4" t="s">
        <v>483</v>
      </c>
    </row>
    <row r="5" spans="1:110" x14ac:dyDescent="0.25">
      <c r="A5" t="s">
        <v>0</v>
      </c>
      <c r="B5" t="s">
        <v>463</v>
      </c>
      <c r="C5">
        <v>1</v>
      </c>
      <c r="D5" s="18">
        <v>44792</v>
      </c>
      <c r="E5" t="s">
        <v>337</v>
      </c>
      <c r="F5" t="s">
        <v>335</v>
      </c>
      <c r="G5" t="s">
        <v>336</v>
      </c>
      <c r="H5" t="s">
        <v>338</v>
      </c>
      <c r="I5" t="s">
        <v>339</v>
      </c>
      <c r="J5" t="s">
        <v>243</v>
      </c>
      <c r="K5" t="s">
        <v>226</v>
      </c>
      <c r="L5" t="s">
        <v>227</v>
      </c>
      <c r="M5" t="s">
        <v>228</v>
      </c>
      <c r="N5" t="s">
        <v>229</v>
      </c>
      <c r="O5" t="s">
        <v>340</v>
      </c>
      <c r="P5" t="s">
        <v>230</v>
      </c>
      <c r="Q5" t="s">
        <v>230</v>
      </c>
      <c r="R5" t="s">
        <v>230</v>
      </c>
      <c r="S5">
        <v>10</v>
      </c>
      <c r="T5" t="s">
        <v>341</v>
      </c>
      <c r="U5">
        <v>45</v>
      </c>
      <c r="V5" t="s">
        <v>295</v>
      </c>
      <c r="W5">
        <v>300</v>
      </c>
      <c r="X5" t="s">
        <v>298</v>
      </c>
      <c r="Y5" t="s">
        <v>247</v>
      </c>
      <c r="Z5" t="s">
        <v>259</v>
      </c>
      <c r="AA5" t="s">
        <v>270</v>
      </c>
      <c r="AB5" t="s">
        <v>278</v>
      </c>
      <c r="AC5" t="s">
        <v>284</v>
      </c>
      <c r="AD5" t="s">
        <v>289</v>
      </c>
      <c r="AE5" t="s">
        <v>293</v>
      </c>
      <c r="AF5" t="s">
        <v>296</v>
      </c>
      <c r="AG5" t="s">
        <v>456</v>
      </c>
      <c r="AH5" t="s">
        <v>589</v>
      </c>
      <c r="AI5" t="s">
        <v>0</v>
      </c>
      <c r="AJ5" t="s">
        <v>342</v>
      </c>
      <c r="AK5" t="s">
        <v>467</v>
      </c>
      <c r="AL5" t="s">
        <v>468</v>
      </c>
      <c r="AM5" t="s">
        <v>459</v>
      </c>
      <c r="AN5">
        <v>4</v>
      </c>
      <c r="AO5" t="s">
        <v>231</v>
      </c>
      <c r="AP5" t="s">
        <v>692</v>
      </c>
      <c r="AT5">
        <v>6</v>
      </c>
      <c r="AU5">
        <v>17</v>
      </c>
      <c r="AV5">
        <v>23</v>
      </c>
      <c r="AW5" t="s">
        <v>220</v>
      </c>
      <c r="BG5" t="s">
        <v>553</v>
      </c>
      <c r="BH5" t="s">
        <v>402</v>
      </c>
      <c r="BN5" t="s">
        <v>468</v>
      </c>
      <c r="BO5">
        <v>1</v>
      </c>
      <c r="BP5">
        <v>0.42</v>
      </c>
      <c r="BQ5">
        <v>0.39</v>
      </c>
      <c r="BR5">
        <v>0.39</v>
      </c>
      <c r="BS5">
        <v>0.4</v>
      </c>
      <c r="BT5">
        <v>56.3</v>
      </c>
      <c r="BU5" s="5">
        <v>48</v>
      </c>
      <c r="BV5" s="5">
        <v>87</v>
      </c>
      <c r="BW5">
        <v>120</v>
      </c>
      <c r="BX5" t="s">
        <v>467</v>
      </c>
      <c r="BY5">
        <v>1</v>
      </c>
      <c r="BZ5" t="s">
        <v>6</v>
      </c>
      <c r="CA5" s="3">
        <v>77</v>
      </c>
      <c r="CB5" t="s">
        <v>342</v>
      </c>
      <c r="CC5" t="s">
        <v>4</v>
      </c>
      <c r="CW5" t="s">
        <v>483</v>
      </c>
    </row>
    <row r="6" spans="1:110" x14ac:dyDescent="0.25">
      <c r="A6" t="s">
        <v>470</v>
      </c>
      <c r="B6" t="s">
        <v>463</v>
      </c>
      <c r="C6">
        <v>2</v>
      </c>
      <c r="D6" s="18">
        <v>45157</v>
      </c>
      <c r="N6" t="s">
        <v>479</v>
      </c>
      <c r="AH6" t="s">
        <v>590</v>
      </c>
      <c r="AI6" t="s">
        <v>470</v>
      </c>
      <c r="AM6" t="s">
        <v>459</v>
      </c>
      <c r="AN6">
        <v>3</v>
      </c>
      <c r="AO6" t="s">
        <v>190</v>
      </c>
      <c r="AP6" t="s">
        <v>693</v>
      </c>
      <c r="AT6">
        <v>5</v>
      </c>
      <c r="AU6">
        <v>64</v>
      </c>
      <c r="AV6">
        <v>69</v>
      </c>
      <c r="BG6" t="s">
        <v>553</v>
      </c>
      <c r="BH6" t="s">
        <v>553</v>
      </c>
      <c r="BR6"/>
      <c r="BS6"/>
      <c r="BU6" s="5"/>
      <c r="BV6" s="5"/>
      <c r="BX6"/>
      <c r="CA6" s="3"/>
    </row>
    <row r="7" spans="1:110" x14ac:dyDescent="0.25">
      <c r="A7" t="s">
        <v>470</v>
      </c>
      <c r="B7" t="s">
        <v>463</v>
      </c>
      <c r="C7">
        <v>2</v>
      </c>
      <c r="D7" s="18">
        <v>45157</v>
      </c>
      <c r="N7" t="s">
        <v>479</v>
      </c>
      <c r="AH7" t="s">
        <v>591</v>
      </c>
      <c r="AI7" t="s">
        <v>470</v>
      </c>
      <c r="AM7" t="s">
        <v>459</v>
      </c>
      <c r="AN7">
        <v>2</v>
      </c>
      <c r="AO7" t="s">
        <v>190</v>
      </c>
      <c r="AP7" t="s">
        <v>693</v>
      </c>
      <c r="AT7">
        <v>56</v>
      </c>
      <c r="AU7">
        <v>8</v>
      </c>
      <c r="AV7">
        <v>64</v>
      </c>
      <c r="BG7" t="s">
        <v>553</v>
      </c>
      <c r="BH7" t="s">
        <v>553</v>
      </c>
      <c r="BR7"/>
      <c r="BS7"/>
      <c r="BU7" s="5"/>
      <c r="BV7" s="5"/>
      <c r="BX7"/>
      <c r="CA7" s="3"/>
    </row>
    <row r="8" spans="1:110" x14ac:dyDescent="0.25">
      <c r="A8" t="s">
        <v>470</v>
      </c>
      <c r="B8" t="s">
        <v>463</v>
      </c>
      <c r="C8">
        <v>2</v>
      </c>
      <c r="D8" s="18">
        <v>45157</v>
      </c>
      <c r="N8" t="s">
        <v>479</v>
      </c>
      <c r="AH8" t="s">
        <v>592</v>
      </c>
      <c r="AI8" t="s">
        <v>470</v>
      </c>
      <c r="AM8" t="s">
        <v>459</v>
      </c>
      <c r="AN8">
        <v>1</v>
      </c>
      <c r="AO8" t="s">
        <v>248</v>
      </c>
      <c r="AP8" t="s">
        <v>692</v>
      </c>
      <c r="AT8">
        <v>8</v>
      </c>
      <c r="AU8">
        <v>0</v>
      </c>
      <c r="AV8">
        <v>8</v>
      </c>
      <c r="AW8" t="s">
        <v>220</v>
      </c>
      <c r="BG8" t="s">
        <v>593</v>
      </c>
      <c r="BH8" t="s">
        <v>402</v>
      </c>
      <c r="BR8"/>
      <c r="BS8"/>
      <c r="BU8" s="5"/>
      <c r="BV8" s="5"/>
      <c r="BX8"/>
      <c r="CA8" s="3"/>
    </row>
    <row r="9" spans="1:110" x14ac:dyDescent="0.25">
      <c r="A9" t="s">
        <v>517</v>
      </c>
      <c r="B9" t="s">
        <v>463</v>
      </c>
      <c r="C9">
        <v>12</v>
      </c>
      <c r="D9" s="18">
        <v>44197</v>
      </c>
      <c r="AH9" t="s">
        <v>595</v>
      </c>
      <c r="AI9" t="s">
        <v>517</v>
      </c>
      <c r="AM9" t="s">
        <v>459</v>
      </c>
      <c r="AN9">
        <v>4</v>
      </c>
      <c r="AO9" t="s">
        <v>190</v>
      </c>
      <c r="AP9" t="s">
        <v>693</v>
      </c>
      <c r="AT9">
        <v>1</v>
      </c>
      <c r="AU9">
        <v>5</v>
      </c>
      <c r="AV9">
        <v>6</v>
      </c>
      <c r="BG9" t="s">
        <v>553</v>
      </c>
      <c r="BH9" t="s">
        <v>553</v>
      </c>
      <c r="BR9"/>
      <c r="BS9"/>
      <c r="BU9" s="5"/>
      <c r="BV9" s="5"/>
      <c r="BX9"/>
      <c r="CA9" s="3"/>
    </row>
    <row r="10" spans="1:110" x14ac:dyDescent="0.25">
      <c r="A10" t="s">
        <v>517</v>
      </c>
      <c r="B10" t="s">
        <v>463</v>
      </c>
      <c r="C10">
        <v>12</v>
      </c>
      <c r="D10" s="18">
        <v>44197</v>
      </c>
      <c r="AH10" t="s">
        <v>596</v>
      </c>
      <c r="AI10" t="s">
        <v>517</v>
      </c>
      <c r="AM10" t="s">
        <v>459</v>
      </c>
      <c r="AN10">
        <v>3</v>
      </c>
      <c r="AO10" t="s">
        <v>190</v>
      </c>
      <c r="AP10" t="s">
        <v>693</v>
      </c>
      <c r="AT10">
        <v>3</v>
      </c>
      <c r="AU10">
        <v>2</v>
      </c>
      <c r="AV10">
        <v>5</v>
      </c>
      <c r="BG10" t="s">
        <v>553</v>
      </c>
      <c r="BH10" t="s">
        <v>553</v>
      </c>
      <c r="BR10"/>
      <c r="BS10"/>
      <c r="BU10" s="5"/>
      <c r="BV10" s="5"/>
      <c r="BX10"/>
      <c r="CA10" s="3"/>
    </row>
    <row r="11" spans="1:110" x14ac:dyDescent="0.25">
      <c r="A11" t="s">
        <v>517</v>
      </c>
      <c r="B11" t="s">
        <v>463</v>
      </c>
      <c r="C11">
        <v>12</v>
      </c>
      <c r="D11" s="18">
        <v>44197</v>
      </c>
      <c r="AH11" t="s">
        <v>594</v>
      </c>
      <c r="AI11" t="s">
        <v>517</v>
      </c>
      <c r="AM11" t="s">
        <v>459</v>
      </c>
      <c r="AN11">
        <v>2</v>
      </c>
      <c r="AO11" t="s">
        <v>231</v>
      </c>
      <c r="AP11" t="s">
        <v>692</v>
      </c>
      <c r="AT11">
        <v>2</v>
      </c>
      <c r="AU11">
        <v>0</v>
      </c>
      <c r="AV11">
        <v>2</v>
      </c>
      <c r="BG11" t="s">
        <v>553</v>
      </c>
      <c r="BH11" t="s">
        <v>553</v>
      </c>
      <c r="BR11"/>
      <c r="BS11"/>
      <c r="BU11" s="5"/>
      <c r="BV11" s="5"/>
      <c r="BX11"/>
      <c r="CA1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7546-261B-4750-88E1-CC1B7C157E69}">
  <sheetPr>
    <tabColor theme="9"/>
  </sheetPr>
  <dimension ref="A1:I13"/>
  <sheetViews>
    <sheetView workbookViewId="0">
      <selection activeCell="J16" sqref="J16"/>
    </sheetView>
  </sheetViews>
  <sheetFormatPr baseColWidth="10" defaultRowHeight="15" x14ac:dyDescent="0.25"/>
  <cols>
    <col min="1" max="1" width="11.42578125" style="21"/>
    <col min="3" max="3" width="13.28515625" customWidth="1"/>
    <col min="4" max="4" width="3.5703125" customWidth="1"/>
    <col min="5" max="5" width="22.28515625" customWidth="1"/>
    <col min="6" max="6" width="14.85546875" customWidth="1"/>
    <col min="8" max="8" width="21.140625" customWidth="1"/>
    <col min="9" max="9" width="16.85546875" customWidth="1"/>
    <col min="10" max="10" width="43.140625" customWidth="1"/>
    <col min="11" max="11" width="24" customWidth="1"/>
  </cols>
  <sheetData>
    <row r="1" spans="1:9" ht="20.25" customHeight="1" x14ac:dyDescent="0.25">
      <c r="A1" s="52" t="s">
        <v>496</v>
      </c>
      <c r="B1" s="52"/>
      <c r="C1" s="52"/>
      <c r="D1" s="30"/>
      <c r="E1" s="52" t="s">
        <v>494</v>
      </c>
      <c r="F1" s="52"/>
      <c r="H1" s="52" t="s">
        <v>542</v>
      </c>
      <c r="I1" s="52"/>
    </row>
    <row r="2" spans="1:9" ht="20.25" customHeight="1" x14ac:dyDescent="0.25">
      <c r="A2" s="32" t="s">
        <v>500</v>
      </c>
      <c r="B2" s="32" t="s">
        <v>502</v>
      </c>
      <c r="C2" s="32" t="s">
        <v>493</v>
      </c>
      <c r="D2" s="31"/>
      <c r="E2" s="32" t="s">
        <v>499</v>
      </c>
      <c r="F2" s="32" t="s">
        <v>495</v>
      </c>
      <c r="H2" s="38" t="s">
        <v>543</v>
      </c>
      <c r="I2" s="32" t="s">
        <v>544</v>
      </c>
    </row>
    <row r="3" spans="1:9" ht="20.25" customHeight="1" x14ac:dyDescent="0.25">
      <c r="A3" s="34" t="s">
        <v>497</v>
      </c>
      <c r="B3" s="33">
        <f>MIN(Ruk.Table[WERT])</f>
        <v>66</v>
      </c>
      <c r="C3" s="33">
        <f>MIN(Lp.Table[EV])</f>
        <v>56.3</v>
      </c>
      <c r="E3" s="34" t="s">
        <v>225</v>
      </c>
      <c r="F3" s="33">
        <f>COUNTIF(Erkundungsstelle.Table[[AUFSCHLUSS_OB]:[AUFSCHLUSS_UG_OH_BA]],"BK100")</f>
        <v>0</v>
      </c>
      <c r="H3" s="34" t="s">
        <v>190</v>
      </c>
      <c r="I3" s="33">
        <f>COUNTIF(Combined_Data_Table[SAMPLE.AUFSCHLUSS],"="&amp;H3)</f>
        <v>7</v>
      </c>
    </row>
    <row r="4" spans="1:9" ht="20.25" customHeight="1" x14ac:dyDescent="0.25">
      <c r="A4" s="34" t="s">
        <v>501</v>
      </c>
      <c r="B4" s="33">
        <f>AVERAGE(Ruk.Table[WERT])</f>
        <v>71.5</v>
      </c>
      <c r="C4" s="33">
        <f>AVERAGE(Lp.Table[EV])</f>
        <v>56.3</v>
      </c>
      <c r="E4" s="34" t="s">
        <v>242</v>
      </c>
      <c r="F4" s="33">
        <f>COUNTIF(Erkundungsstelle.Table[[AUFSCHLUSS_OB]:[AUFSCHLUSS_UG_OH_BA]],"BK150")</f>
        <v>0</v>
      </c>
      <c r="H4" s="34" t="s">
        <v>231</v>
      </c>
      <c r="I4" s="33">
        <f>COUNTIF(Combined_Data_Table[SAMPLE.AUFSCHLUSS],"="&amp;H4)</f>
        <v>2</v>
      </c>
    </row>
    <row r="5" spans="1:9" ht="20.25" customHeight="1" x14ac:dyDescent="0.25">
      <c r="A5" s="34" t="s">
        <v>498</v>
      </c>
      <c r="B5" s="33">
        <f>MAX(Ruk.Table[WERT])</f>
        <v>77</v>
      </c>
      <c r="C5" s="33">
        <f>MAX(Lp.Table[EV])</f>
        <v>56.3</v>
      </c>
      <c r="E5" s="34" t="s">
        <v>256</v>
      </c>
      <c r="F5" s="33">
        <f>COUNTIF(Erkundungsstelle.Table[[AUFSCHLUSS_OB]:[AUFSCHLUSS_UG_OH_BA]],"BK250")</f>
        <v>0</v>
      </c>
      <c r="H5" s="34" t="s">
        <v>248</v>
      </c>
      <c r="I5" s="33">
        <f>COUNTIF(Combined_Data_Table[SAMPLE.AUFSCHLUSS],"="&amp;H5)</f>
        <v>1</v>
      </c>
    </row>
    <row r="6" spans="1:9" ht="20.25" customHeight="1" x14ac:dyDescent="0.25">
      <c r="E6" s="34" t="s">
        <v>268</v>
      </c>
      <c r="F6" s="33">
        <f>COUNTIF(Erkundungsstelle.Table[[AUFSCHLUSS_OB]:[AUFSCHLUSS_UG_OH_BA]],"BK300")</f>
        <v>0</v>
      </c>
      <c r="H6" s="34" t="s">
        <v>260</v>
      </c>
      <c r="I6" s="33">
        <f>COUNTIF(Combined_Data_Table[SAMPLE.AUFSCHLUSS],"="&amp;H6)</f>
        <v>0</v>
      </c>
    </row>
    <row r="7" spans="1:9" ht="20.25" customHeight="1" x14ac:dyDescent="0.25">
      <c r="E7" s="34" t="s">
        <v>276</v>
      </c>
      <c r="F7" s="33">
        <f>COUNTIF(Erkundungsstelle.Table[[AUFSCHLUSS_OB]:[AUFSCHLUSS_UG_OH_BA]],"BK400")</f>
        <v>0</v>
      </c>
      <c r="H7" s="34" t="s">
        <v>271</v>
      </c>
      <c r="I7" s="33">
        <f>COUNTIF(Combined_Data_Table[SAMPLE.AUFSCHLUSS],"="&amp;H7)</f>
        <v>0</v>
      </c>
    </row>
    <row r="8" spans="1:9" ht="20.25" customHeight="1" x14ac:dyDescent="0.25">
      <c r="E8" s="34" t="s">
        <v>282</v>
      </c>
      <c r="F8" s="33">
        <f>COUNTIF(Erkundungsstelle.Table[[AUFSCHLUSS_OB]:[AUFSCHLUSS_UG_OH_BA]],"Auskratzen")</f>
        <v>0</v>
      </c>
      <c r="H8" s="34" t="s">
        <v>279</v>
      </c>
      <c r="I8" s="33">
        <f>COUNTIF(Combined_Data_Table[SAMPLE.AUFSCHLUSS],"="&amp;H8)</f>
        <v>0</v>
      </c>
    </row>
    <row r="9" spans="1:9" ht="20.25" customHeight="1" x14ac:dyDescent="0.25">
      <c r="E9" s="34" t="s">
        <v>287</v>
      </c>
      <c r="F9" s="33">
        <f>COUNTIF(Erkundungsstelle.Table[[AUFSCHLUSS_OB]:[AUFSCHLUSS_UG_OH_BA]],"Aufbruch")</f>
        <v>0</v>
      </c>
      <c r="H9" s="34" t="s">
        <v>285</v>
      </c>
      <c r="I9" s="33">
        <f>COUNTIF(Combined_Data_Table[SAMPLE.AUFSCHLUSS],"="&amp;H9)</f>
        <v>0</v>
      </c>
    </row>
    <row r="10" spans="1:9" ht="20.25" customHeight="1" x14ac:dyDescent="0.25">
      <c r="E10" s="34" t="s">
        <v>243</v>
      </c>
      <c r="F10" s="33">
        <f>COUNTIF(Erkundungsstelle.Table[[AUFSCHLUSS_OB]:[AUFSCHLUSS_UG_OH_BA]],"Aufstemmen")</f>
        <v>1</v>
      </c>
      <c r="H10" s="34" t="s">
        <v>290</v>
      </c>
      <c r="I10" s="33">
        <f>COUNTIF(Combined_Data_Table[SAMPLE.AUFSCHLUSS],"="&amp;H10)</f>
        <v>0</v>
      </c>
    </row>
    <row r="11" spans="1:9" ht="20.25" customHeight="1" x14ac:dyDescent="0.25">
      <c r="E11" s="34" t="s">
        <v>226</v>
      </c>
      <c r="F11" s="33">
        <f>COUNTIF(Erkundungsstelle.Table[[AUFSCHLUSS_OB]:[AUFSCHLUSS_UG_OH_BA]],"Handschurf")</f>
        <v>1</v>
      </c>
      <c r="H11" s="34" t="s">
        <v>294</v>
      </c>
      <c r="I11" s="33">
        <f>COUNTIF(Combined_Data_Table[SAMPLE.AUFSCHLUSS],"="&amp;H11)</f>
        <v>0</v>
      </c>
    </row>
    <row r="12" spans="1:9" ht="20.25" customHeight="1" x14ac:dyDescent="0.25">
      <c r="E12" s="34" t="s">
        <v>227</v>
      </c>
      <c r="F12" s="33">
        <f>COUNTIF(Erkundungsstelle.Table[[AUFSCHLUSS_OB]:[AUFSCHLUSS_UG_OH_BA]],"Kleinrammbohrung")</f>
        <v>1</v>
      </c>
      <c r="H12" s="34" t="s">
        <v>297</v>
      </c>
      <c r="I12" s="33">
        <f>COUNTIF(Combined_Data_Table[SAMPLE.AUFSCHLUSS],"="&amp;H12)</f>
        <v>0</v>
      </c>
    </row>
    <row r="13" spans="1:9" ht="20.25" customHeight="1" x14ac:dyDescent="0.25">
      <c r="E13" s="34" t="s">
        <v>244</v>
      </c>
      <c r="F13" s="33">
        <f>COUNTIF(Erkundungsstelle.Table[[AUFSCHLUSS_OB]:[AUFSCHLUSS_UG_OH_BA]],"Baggerschurf")</f>
        <v>0</v>
      </c>
    </row>
  </sheetData>
  <mergeCells count="3">
    <mergeCell ref="E1:F1"/>
    <mergeCell ref="A1:C1"/>
    <mergeCell ref="H1:I1"/>
  </mergeCells>
  <pageMargins left="0.7" right="0.7" top="0.78740157499999996" bottom="0.78740157499999996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B78F-BCCD-4945-A0D4-69D16B18124A}">
  <dimension ref="A1:Z51"/>
  <sheetViews>
    <sheetView workbookViewId="0">
      <selection activeCell="K13" sqref="K13"/>
    </sheetView>
  </sheetViews>
  <sheetFormatPr baseColWidth="10" defaultRowHeight="14.25" x14ac:dyDescent="0.2"/>
  <cols>
    <col min="1" max="1" width="11.42578125" style="40"/>
    <col min="2" max="2" width="4.5703125" style="40" customWidth="1"/>
    <col min="3" max="3" width="11.7109375" style="40" customWidth="1"/>
    <col min="4" max="5" width="11.42578125" style="40"/>
    <col min="6" max="6" width="13.85546875" style="40" customWidth="1"/>
    <col min="7" max="7" width="14.85546875" style="40" customWidth="1"/>
    <col min="8" max="8" width="15.140625" style="40" customWidth="1"/>
    <col min="9" max="9" width="11.42578125" style="40"/>
    <col min="10" max="10" width="32.42578125" style="40" customWidth="1"/>
    <col min="11" max="11" width="73.7109375" style="40" customWidth="1"/>
    <col min="12" max="12" width="11.42578125" style="40"/>
    <col min="13" max="13" width="30.42578125" style="40" bestFit="1" customWidth="1"/>
    <col min="14" max="14" width="6" style="40" bestFit="1" customWidth="1"/>
    <col min="15" max="15" width="5.7109375" style="40" bestFit="1" customWidth="1"/>
    <col min="16" max="17" width="4.28515625" style="40" bestFit="1" customWidth="1"/>
    <col min="18" max="18" width="18.7109375" style="40" bestFit="1" customWidth="1"/>
    <col min="19" max="19" width="7.42578125" style="40" bestFit="1" customWidth="1"/>
    <col min="20" max="20" width="7" style="40" bestFit="1" customWidth="1"/>
    <col min="21" max="21" width="8.7109375" style="40" bestFit="1" customWidth="1"/>
    <col min="22" max="22" width="15.42578125" style="40" bestFit="1" customWidth="1"/>
    <col min="23" max="23" width="11.28515625" style="40" bestFit="1" customWidth="1"/>
    <col min="24" max="25" width="11.42578125" style="40"/>
    <col min="26" max="26" width="39.5703125" style="40" customWidth="1"/>
    <col min="27" max="16384" width="11.42578125" style="40"/>
  </cols>
  <sheetData>
    <row r="1" spans="1:26" ht="15.75" thickBot="1" x14ac:dyDescent="0.3">
      <c r="J1" s="55" t="s">
        <v>568</v>
      </c>
      <c r="K1" s="55"/>
      <c r="N1" s="53" t="s">
        <v>543</v>
      </c>
      <c r="O1" s="53"/>
      <c r="P1" s="53"/>
      <c r="Q1" s="53"/>
      <c r="R1" s="53"/>
      <c r="S1" s="53"/>
      <c r="T1" s="53"/>
      <c r="U1" s="53"/>
      <c r="V1" s="53"/>
      <c r="W1" s="53"/>
      <c r="Z1" s="40" t="s">
        <v>572</v>
      </c>
    </row>
    <row r="2" spans="1:26" ht="14.1" customHeight="1" x14ac:dyDescent="0.2">
      <c r="A2" s="62" t="str">
        <f>"GOB"&amp;CHAR(10)&amp;"Probenahme"</f>
        <v>GOB
Probenahme</v>
      </c>
      <c r="B2" s="60" t="str">
        <f>IF(gob_proben_anzahl&gt;0,"Bit. gebundener Oberbau:","")</f>
        <v>Bit. gebundener Oberbau:</v>
      </c>
      <c r="C2" s="60"/>
      <c r="D2" s="60"/>
      <c r="E2" s="60"/>
      <c r="F2" s="60"/>
      <c r="G2" s="60"/>
      <c r="H2" s="60"/>
      <c r="J2" s="55"/>
      <c r="K2" s="55"/>
      <c r="N2" s="44" t="str">
        <f>'Auswahl Listen'!A2</f>
        <v>GOB</v>
      </c>
      <c r="O2" s="44" t="str">
        <f>'Auswahl Listen'!A3</f>
        <v>TOB</v>
      </c>
      <c r="P2" s="44" t="str">
        <f>'Auswahl Listen'!A4</f>
        <v>UG</v>
      </c>
      <c r="Q2" s="44" t="str">
        <f>'Auswahl Listen'!A5</f>
        <v>OH</v>
      </c>
      <c r="R2" s="44" t="str">
        <f>'Auswahl Listen'!A6</f>
        <v>BESCHICHTUNG</v>
      </c>
      <c r="S2" s="44" t="str">
        <f>'Auswahl Listen'!A7</f>
        <v>TMHB</v>
      </c>
      <c r="T2" s="44" t="str">
        <f>'Auswahl Listen'!A8</f>
        <v>FUGE</v>
      </c>
      <c r="U2" s="44" t="str">
        <f>'Auswahl Listen'!A9</f>
        <v>BETON</v>
      </c>
      <c r="V2" s="44" t="str">
        <f>'Auswahl Listen'!A10</f>
        <v>ABDICHTUNG</v>
      </c>
      <c r="W2" s="44" t="str">
        <f>'Auswahl Listen'!A11</f>
        <v>BANKETT</v>
      </c>
      <c r="Z2" s="40" t="s">
        <v>555</v>
      </c>
    </row>
    <row r="3" spans="1:26" ht="14.1" customHeight="1" x14ac:dyDescent="0.25">
      <c r="A3" s="63"/>
      <c r="B3" s="57"/>
      <c r="C3" s="57"/>
      <c r="D3" s="57"/>
      <c r="E3" s="57"/>
      <c r="F3" s="57"/>
      <c r="G3" s="57"/>
      <c r="H3" s="57"/>
      <c r="J3" s="56" t="s">
        <v>190</v>
      </c>
      <c r="K3" s="56"/>
      <c r="M3" s="45" t="s">
        <v>548</v>
      </c>
      <c r="N3" s="41">
        <f>COUNTIF(Combined_Data_Table[[SAMPLE.AUFSCHLUSS]:[SAMPLE.AUFSCHLUSS]],"="&amp;N2)</f>
        <v>7</v>
      </c>
      <c r="O3" s="41">
        <f>COUNTIF(Combined_Data_Table[[SAMPLE.AUFSCHLUSS]:[SAMPLE.AUFSCHLUSS]],"="&amp;O2)</f>
        <v>2</v>
      </c>
      <c r="P3" s="41">
        <f>COUNTIF(Combined_Data_Table[[SAMPLE.AUFSCHLUSS]:[SAMPLE.AUFSCHLUSS]],"="&amp;P2)</f>
        <v>1</v>
      </c>
      <c r="Q3" s="41">
        <f>COUNTIF(Combined_Data_Table[[SAMPLE.AUFSCHLUSS]:[SAMPLE.AUFSCHLUSS]],"="&amp;Q2)</f>
        <v>0</v>
      </c>
      <c r="R3" s="41">
        <f>COUNTIF(Combined_Data_Table[[SAMPLE.AUFSCHLUSS]:[SAMPLE.AUFSCHLUSS]],"="&amp;R2)</f>
        <v>0</v>
      </c>
      <c r="S3" s="41">
        <f>COUNTIF(Combined_Data_Table[[SAMPLE.AUFSCHLUSS]:[SAMPLE.AUFSCHLUSS]],"="&amp;S2)</f>
        <v>0</v>
      </c>
      <c r="T3" s="41">
        <f>COUNTIF(Combined_Data_Table[[SAMPLE.AUFSCHLUSS]:[SAMPLE.AUFSCHLUSS]],"="&amp;T2)</f>
        <v>0</v>
      </c>
      <c r="U3" s="41">
        <f>COUNTIF(Combined_Data_Table[[SAMPLE.AUFSCHLUSS]:[SAMPLE.AUFSCHLUSS]],"="&amp;U2)</f>
        <v>0</v>
      </c>
      <c r="V3" s="41">
        <f>COUNTIF(Combined_Data_Table[[SAMPLE.AUFSCHLUSS]:[SAMPLE.AUFSCHLUSS]],"="&amp;V2)</f>
        <v>0</v>
      </c>
      <c r="W3" s="41">
        <f>COUNTIF(Combined_Data_Table[[SAMPLE.AUFSCHLUSS]:[SAMPLE.AUFSCHLUSS]],"="&amp;W2)</f>
        <v>0</v>
      </c>
      <c r="Z3" s="40" t="s">
        <v>573</v>
      </c>
    </row>
    <row r="4" spans="1:26" ht="14.1" customHeight="1" x14ac:dyDescent="0.25">
      <c r="A4" s="63"/>
      <c r="B4" s="42" t="str">
        <f>IF(AND(gob_ueberschrift&lt;&gt;"",gob_erster_punkt&lt;&gt;""),"-","")</f>
        <v>-</v>
      </c>
      <c r="C4" s="57" t="str">
        <f>IF(gob_ueberschrift&lt;&gt;"",
IF(gob_schichtdicke_text&lt;&gt;"",gob_schichtdicke_text,
IF(gob_pechnachweis_text&lt;&gt;"",gob_pechnachweis_text,
IF(gob_ruk_text&lt;&gt;"",gob_ruk_text,""))),"")</f>
        <v>Schichtdicke (an Einzelschichten) - Angabe mit einer Genauigkeit von 0,5cm</v>
      </c>
      <c r="D4" s="57"/>
      <c r="E4" s="57"/>
      <c r="F4" s="57"/>
      <c r="G4" s="57"/>
      <c r="H4" s="57"/>
      <c r="J4" s="46" t="s">
        <v>562</v>
      </c>
      <c r="K4" s="40" t="str">
        <f>IF(schichtdicke_gob&gt;0,"Schichtdicke (an Einzelschichten) - Angabe mit einer Genauigkeit von 0,5cm","")</f>
        <v>Schichtdicke (an Einzelschichten) - Angabe mit einer Genauigkeit von 0,5cm</v>
      </c>
      <c r="M4" s="45" t="s">
        <v>545</v>
      </c>
      <c r="N4" s="41">
        <f>COUNTIFS(
Combined_Data_Table[[SAMPLE.AUFSCHLUSS]:[SAMPLE.AUFSCHLUSS]],"="&amp;N2,
Combined_Data_Table[[PROBE.PECH_QUALITATIV]:[PROBE.PECH_QUALITATIV]],"&lt;&gt;"&amp;"")</f>
        <v>3</v>
      </c>
      <c r="O4" s="41">
        <f>COUNTIFS(
Combined_Data_Table[[SAMPLE.AUFSCHLUSS]:[SAMPLE.AUFSCHLUSS]],"="&amp;O2,
Combined_Data_Table[[PROBE.PECH_QUALITATIV]:[PROBE.PECH_QUALITATIV]],"&lt;&gt;"&amp;"")</f>
        <v>1</v>
      </c>
      <c r="P4" s="41">
        <f>COUNTIFS(
Combined_Data_Table[[SAMPLE.AUFSCHLUSS]:[SAMPLE.AUFSCHLUSS]],"="&amp;P2,
Combined_Data_Table[[PROBE.PECH_QUALITATIV]:[PROBE.PECH_QUALITATIV]],"&lt;&gt;"&amp;"")</f>
        <v>0</v>
      </c>
      <c r="Q4" s="41">
        <f>COUNTIFS(
Combined_Data_Table[[SAMPLE.AUFSCHLUSS]:[SAMPLE.AUFSCHLUSS]],"="&amp;Q2,
Combined_Data_Table[[PROBE.PECH_QUALITATIV]:[PROBE.PECH_QUALITATIV]],"&lt;&gt;"&amp;"")</f>
        <v>0</v>
      </c>
      <c r="R4" s="41">
        <f>COUNTIFS(
Combined_Data_Table[[SAMPLE.AUFSCHLUSS]:[SAMPLE.AUFSCHLUSS]],"="&amp;R2,
Combined_Data_Table[[PROBE.PECH_QUALITATIV]:[PROBE.PECH_QUALITATIV]],"&lt;&gt;"&amp;"")</f>
        <v>0</v>
      </c>
      <c r="S4" s="41">
        <f>COUNTIFS(
Combined_Data_Table[[SAMPLE.AUFSCHLUSS]:[SAMPLE.AUFSCHLUSS]],"="&amp;S2,
Combined_Data_Table[[PROBE.PECH_QUALITATIV]:[PROBE.PECH_QUALITATIV]],"&lt;&gt;"&amp;"")</f>
        <v>0</v>
      </c>
      <c r="T4" s="41">
        <f>COUNTIFS(
Combined_Data_Table[[SAMPLE.AUFSCHLUSS]:[SAMPLE.AUFSCHLUSS]],"="&amp;T2,
Combined_Data_Table[[PROBE.PECH_QUALITATIV]:[PROBE.PECH_QUALITATIV]],"&lt;&gt;"&amp;"")</f>
        <v>0</v>
      </c>
      <c r="U4" s="41">
        <f>COUNTIFS(
Combined_Data_Table[[SAMPLE.AUFSCHLUSS]:[SAMPLE.AUFSCHLUSS]],"="&amp;U2,
Combined_Data_Table[[PROBE.PECH_QUALITATIV]:[PROBE.PECH_QUALITATIV]],"&lt;&gt;"&amp;"")</f>
        <v>0</v>
      </c>
      <c r="V4" s="41">
        <f>COUNTIFS(
Combined_Data_Table[[SAMPLE.AUFSCHLUSS]:[SAMPLE.AUFSCHLUSS]],"="&amp;V2,
Combined_Data_Table[[PROBE.PECH_QUALITATIV]:[PROBE.PECH_QUALITATIV]],"&lt;&gt;"&amp;"")</f>
        <v>0</v>
      </c>
      <c r="W4" s="41">
        <f>COUNTIFS(
Combined_Data_Table[[SAMPLE.AUFSCHLUSS]:[SAMPLE.AUFSCHLUSS]],"="&amp;W2,
Combined_Data_Table[[PROBE.PECH_QUALITATIV]:[PROBE.PECH_QUALITATIV]],"&lt;&gt;"&amp;"")</f>
        <v>0</v>
      </c>
      <c r="Z4" s="40" t="s">
        <v>574</v>
      </c>
    </row>
    <row r="5" spans="1:26" ht="14.1" customHeight="1" x14ac:dyDescent="0.25">
      <c r="A5" s="63"/>
      <c r="B5" s="42" t="str">
        <f>IF(AND(gob_ueberschrift&lt;&gt;"",gob_erster_punkt&lt;&gt;"",gob_zweiter_punkt&lt;&gt;""),"-","")</f>
        <v>-</v>
      </c>
      <c r="C5" s="57" t="str">
        <f>IF(gob_ueberschrift&lt;&gt;"",
IF(AND(gob_erster_punkt=gob_schichtdicke_text,gob_pechnachweis_text&lt;&gt;""),gob_pechnachweis_text,IF(AND(gob_ruk_text&lt;&gt;"",OR(gob_erster_punkt=gob_pechnachweis_text,gob_erster_punkt=gob_schichtdicke_text)),gob_ruk_text,"")),"")</f>
        <v>Pechnachweis, qualtitativ/halbqualitativ/quantitativ</v>
      </c>
      <c r="D5" s="57"/>
      <c r="E5" s="57"/>
      <c r="F5" s="57"/>
      <c r="G5" s="57"/>
      <c r="H5" s="57"/>
      <c r="J5" s="46" t="s">
        <v>563</v>
      </c>
      <c r="K5" s="40" t="str">
        <f>IF(OR(gob_pechnachweis_qualitativ&gt;0,gob_pechnachweis_halbqualitativ&gt;0,gob_pechnachweis_quantitativ&gt;0),"Pechnachweis, "
&amp;IF(gob_pechnachweis_qualitativ&gt;0,"qualtitativ","")
&amp;IF(AND(gob_pechnachweis_qualitativ&gt;0,gob_pechnachweis_halbqualitativ&gt;0),"/halbqualitativ",IF(gob_pechnachweis_halbqualitativ&gt;0,"halbqualitativ",""))
&amp;IF(OR(AND(gob_pechnachweis_qualitativ&gt;0,gob_pechnachweis_halbqualitativ&gt;0,gob_pechnachweis_quantitativ&gt;0),AND(gob_pechnachweis_halbqualitativ,gob_pechnachweis_quantitativ&gt;0)),"/quantitativ",IF(gob_pechnachweis_quantitativ&gt;0,"quantitativ","")),"")</f>
        <v>Pechnachweis, qualtitativ/halbqualitativ/quantitativ</v>
      </c>
      <c r="M5" s="45" t="s">
        <v>547</v>
      </c>
      <c r="N5" s="41">
        <f>COUNTIFS(
Combined_Data_Table[[SAMPLE.AUFSCHLUSS]:[SAMPLE.AUFSCHLUSS]],"="&amp;N2,
Combined_Data_Table[[PROBE.PECH_HALBQUANTITATIV]:[PROBE.PECH_HALBQUANTITATIV]],"&lt;&gt;"&amp;"")</f>
        <v>3</v>
      </c>
      <c r="O5" s="41">
        <f>COUNTIFS(
Combined_Data_Table[[SAMPLE.AUFSCHLUSS]:[SAMPLE.AUFSCHLUSS]],"="&amp;O2,
Combined_Data_Table[[PROBE.PECH_HALBQUANTITATIV]:[PROBE.PECH_HALBQUANTITATIV]],"&lt;&gt;"&amp;"")</f>
        <v>1</v>
      </c>
      <c r="P5" s="41">
        <f>COUNTIFS(
Combined_Data_Table[[SAMPLE.AUFSCHLUSS]:[SAMPLE.AUFSCHLUSS]],"="&amp;P2,
Combined_Data_Table[[PROBE.PECH_HALBQUANTITATIV]:[PROBE.PECH_HALBQUANTITATIV]],"&lt;&gt;"&amp;"")</f>
        <v>0</v>
      </c>
      <c r="Q5" s="41">
        <f>COUNTIFS(
Combined_Data_Table[[SAMPLE.AUFSCHLUSS]:[SAMPLE.AUFSCHLUSS]],"="&amp;Q2,
Combined_Data_Table[[PROBE.PECH_HALBQUANTITATIV]:[PROBE.PECH_HALBQUANTITATIV]],"&lt;&gt;"&amp;"")</f>
        <v>0</v>
      </c>
      <c r="R5" s="41">
        <f>COUNTIFS(
Combined_Data_Table[[SAMPLE.AUFSCHLUSS]:[SAMPLE.AUFSCHLUSS]],"="&amp;R2,
Combined_Data_Table[[PROBE.PECH_HALBQUANTITATIV]:[PROBE.PECH_HALBQUANTITATIV]],"&lt;&gt;"&amp;"")</f>
        <v>0</v>
      </c>
      <c r="S5" s="41">
        <f>COUNTIFS(
Combined_Data_Table[[SAMPLE.AUFSCHLUSS]:[SAMPLE.AUFSCHLUSS]],"="&amp;S2,
Combined_Data_Table[[PROBE.PECH_HALBQUANTITATIV]:[PROBE.PECH_HALBQUANTITATIV]],"&lt;&gt;"&amp;"")</f>
        <v>0</v>
      </c>
      <c r="T5" s="41">
        <f>COUNTIFS(
Combined_Data_Table[[SAMPLE.AUFSCHLUSS]:[SAMPLE.AUFSCHLUSS]],"="&amp;T2,
Combined_Data_Table[[PROBE.PECH_HALBQUANTITATIV]:[PROBE.PECH_HALBQUANTITATIV]],"&lt;&gt;"&amp;"")</f>
        <v>0</v>
      </c>
      <c r="U5" s="41">
        <f>COUNTIFS(
Combined_Data_Table[[SAMPLE.AUFSCHLUSS]:[SAMPLE.AUFSCHLUSS]],"="&amp;U2,
Combined_Data_Table[[PROBE.PECH_HALBQUANTITATIV]:[PROBE.PECH_HALBQUANTITATIV]],"&lt;&gt;"&amp;"")</f>
        <v>0</v>
      </c>
      <c r="V5" s="41">
        <f>COUNTIFS(
Combined_Data_Table[[SAMPLE.AUFSCHLUSS]:[SAMPLE.AUFSCHLUSS]],"="&amp;V2,
Combined_Data_Table[[PROBE.PECH_HALBQUANTITATIV]:[PROBE.PECH_HALBQUANTITATIV]],"&lt;&gt;"&amp;"")</f>
        <v>0</v>
      </c>
      <c r="W5" s="41">
        <f>COUNTIFS(
Combined_Data_Table[[SAMPLE.AUFSCHLUSS]:[SAMPLE.AUFSCHLUSS]],"="&amp;W2,
Combined_Data_Table[[PROBE.PECH_HALBQUANTITATIV]:[PROBE.PECH_HALBQUANTITATIV]],"&lt;&gt;"&amp;"")</f>
        <v>0</v>
      </c>
      <c r="Z5" s="40" t="s">
        <v>575</v>
      </c>
    </row>
    <row r="6" spans="1:26" ht="14.1" customHeight="1" thickBot="1" x14ac:dyDescent="0.3">
      <c r="A6" s="64"/>
      <c r="B6" s="42" t="str">
        <f>IF(AND(gob_ueberschrift&lt;&gt;"",gob_erster_punkt&lt;&gt;"",gob_zweiter_punkt&lt;&gt;"",gob_dritter_punkt&lt;&gt;""),"-","")</f>
        <v>-</v>
      </c>
      <c r="C6" s="57" t="str">
        <f>IF(
gob_ueberschrift&lt;&gt;"",
IF(AND(gob_pechnachweis_text&lt;&gt;"",gob_zweiter_punkt=gob_pechnachweis_text,gob_ruk_text&lt;&gt;""),gob_ruk_text,""),"")</f>
        <v>Erweichungspunkt RuK, Deckschicht</v>
      </c>
      <c r="D6" s="57"/>
      <c r="E6" s="57"/>
      <c r="F6" s="57"/>
      <c r="G6" s="57"/>
      <c r="H6" s="57"/>
      <c r="J6" s="46" t="s">
        <v>564</v>
      </c>
      <c r="K6" s="40" t="str">
        <f>IF(gob_ruk&gt;0,"Erweichungspunkt RuK","")
&amp;IF(AND(gob_deckschicht&gt;0,OR(gob_binderschicht&gt;0,gob_tragschicht&gt;0)),", Deck-",IF(gob_deckschicht&gt;0,", Deckschicht",""))
&amp;IF(AND(gob_binderschicht&gt;0,gob_tragschicht&gt;0),", Binder-",IF(AND(gob_deckschicht&gt;0,gob_binderschicht&gt;0),", Binderschicht",IF(gob_binderschicht&gt;0,"Binderschicht","")))
&amp;IF(gob_tragschicht&gt;0,", Tragschicht","")</f>
        <v>Erweichungspunkt RuK, Deckschicht</v>
      </c>
      <c r="M6" s="45" t="s">
        <v>546</v>
      </c>
      <c r="N6" s="41">
        <f>COUNTIFS(
Combined_Data_Table[[SAMPLE.AUFSCHLUSS]:[SAMPLE.AUFSCHLUSS]],"="&amp;N2,
Combined_Data_Table[[PROBE.PECH_QUANTITATIV]:[PROBE.PECH_QUANTITATIV]],"&lt;&gt;"&amp;"")</f>
        <v>3</v>
      </c>
      <c r="O6" s="41">
        <f>COUNTIFS(
Combined_Data_Table[[SAMPLE.AUFSCHLUSS]:[SAMPLE.AUFSCHLUSS]],"="&amp;O2,
Combined_Data_Table[[PROBE.PECH_QUANTITATIV]:[PROBE.PECH_QUANTITATIV]],"&lt;&gt;"&amp;"")</f>
        <v>1</v>
      </c>
      <c r="P6" s="41">
        <f>COUNTIFS(
Combined_Data_Table[[SAMPLE.AUFSCHLUSS]:[SAMPLE.AUFSCHLUSS]],"="&amp;P2,
Combined_Data_Table[[PROBE.PECH_QUANTITATIV]:[PROBE.PECH_QUANTITATIV]],"&lt;&gt;"&amp;"")</f>
        <v>0</v>
      </c>
      <c r="Q6" s="41">
        <f>COUNTIFS(
Combined_Data_Table[[SAMPLE.AUFSCHLUSS]:[SAMPLE.AUFSCHLUSS]],"="&amp;Q2,
Combined_Data_Table[[PROBE.PECH_QUANTITATIV]:[PROBE.PECH_QUANTITATIV]],"&lt;&gt;"&amp;"")</f>
        <v>0</v>
      </c>
      <c r="R6" s="41">
        <f>COUNTIFS(
Combined_Data_Table[[SAMPLE.AUFSCHLUSS]:[SAMPLE.AUFSCHLUSS]],"="&amp;R2,
Combined_Data_Table[[PROBE.PECH_QUANTITATIV]:[PROBE.PECH_QUANTITATIV]],"&lt;&gt;"&amp;"")</f>
        <v>0</v>
      </c>
      <c r="S6" s="41">
        <f>COUNTIFS(
Combined_Data_Table[[SAMPLE.AUFSCHLUSS]:[SAMPLE.AUFSCHLUSS]],"="&amp;S2,
Combined_Data_Table[[PROBE.PECH_QUANTITATIV]:[PROBE.PECH_QUANTITATIV]],"&lt;&gt;"&amp;"")</f>
        <v>0</v>
      </c>
      <c r="T6" s="41">
        <f>COUNTIFS(
Combined_Data_Table[[SAMPLE.AUFSCHLUSS]:[SAMPLE.AUFSCHLUSS]],"="&amp;T2,
Combined_Data_Table[[PROBE.PECH_QUANTITATIV]:[PROBE.PECH_QUANTITATIV]],"&lt;&gt;"&amp;"")</f>
        <v>0</v>
      </c>
      <c r="U6" s="41">
        <f>COUNTIFS(
Combined_Data_Table[[SAMPLE.AUFSCHLUSS]:[SAMPLE.AUFSCHLUSS]],"="&amp;U2,
Combined_Data_Table[[PROBE.PECH_QUANTITATIV]:[PROBE.PECH_QUANTITATIV]],"&lt;&gt;"&amp;"")</f>
        <v>0</v>
      </c>
      <c r="V6" s="41">
        <f>COUNTIFS(
Combined_Data_Table[[SAMPLE.AUFSCHLUSS]:[SAMPLE.AUFSCHLUSS]],"="&amp;V2,
Combined_Data_Table[[PROBE.PECH_QUANTITATIV]:[PROBE.PECH_QUANTITATIV]],"&lt;&gt;"&amp;"")</f>
        <v>0</v>
      </c>
      <c r="W6" s="41">
        <f>COUNTIFS(
Combined_Data_Table[[SAMPLE.AUFSCHLUSS]:[SAMPLE.AUFSCHLUSS]],"="&amp;W2,
Combined_Data_Table[[PROBE.PECH_QUANTITATIV]:[PROBE.PECH_QUANTITATIV]],"&lt;&gt;"&amp;"")</f>
        <v>0</v>
      </c>
    </row>
    <row r="7" spans="1:26" ht="14.1" customHeight="1" x14ac:dyDescent="0.25">
      <c r="B7" s="65" t="str">
        <f t="shared" ref="B7" si="0">IF(C7&lt;&gt;"","-","")</f>
        <v/>
      </c>
      <c r="C7" s="65"/>
      <c r="D7" s="65"/>
      <c r="E7" s="65"/>
      <c r="F7" s="65"/>
      <c r="G7" s="65"/>
      <c r="H7" s="65"/>
      <c r="M7" s="45" t="s">
        <v>549</v>
      </c>
      <c r="N7" s="41">
        <f>COUNTIFS(
Combined_Data_Table[[SAMPLE.AUFSCHLUSS]:[SAMPLE.AUFSCHLUSS]],"="&amp;N2,
Combined_Data_Table[[PARAMETER.RUK.ID]:[PARAMETER.RUK.ID]],"&lt;&gt;"&amp;"")</f>
        <v>3</v>
      </c>
      <c r="O7" s="41">
        <f>COUNTIFS(
Combined_Data_Table[[SAMPLE.AUFSCHLUSS]:[SAMPLE.AUFSCHLUSS]],"="&amp;O2,
Combined_Data_Table[[PARAMETER.RUK.ID]:[PARAMETER.RUK.ID]],"&lt;&gt;"&amp;"")</f>
        <v>1</v>
      </c>
      <c r="P7" s="41">
        <f>COUNTIFS(
Combined_Data_Table[[SAMPLE.AUFSCHLUSS]:[SAMPLE.AUFSCHLUSS]],"="&amp;P2,
Combined_Data_Table[[PARAMETER.RUK.ID]:[PARAMETER.RUK.ID]],"&lt;&gt;"&amp;"")</f>
        <v>0</v>
      </c>
      <c r="Q7" s="41">
        <f>COUNTIFS(
Combined_Data_Table[[SAMPLE.AUFSCHLUSS]:[SAMPLE.AUFSCHLUSS]],"="&amp;Q2,
Combined_Data_Table[[PARAMETER.RUK.ID]:[PARAMETER.RUK.ID]],"&lt;&gt;"&amp;"")</f>
        <v>0</v>
      </c>
      <c r="R7" s="41">
        <f>COUNTIFS(
Combined_Data_Table[[SAMPLE.AUFSCHLUSS]:[SAMPLE.AUFSCHLUSS]],"="&amp;R2,
Combined_Data_Table[[PARAMETER.RUK.ID]:[PARAMETER.RUK.ID]],"&lt;&gt;"&amp;"")</f>
        <v>0</v>
      </c>
      <c r="S7" s="41">
        <f>COUNTIFS(
Combined_Data_Table[[SAMPLE.AUFSCHLUSS]:[SAMPLE.AUFSCHLUSS]],"="&amp;S2,
Combined_Data_Table[[PARAMETER.RUK.ID]:[PARAMETER.RUK.ID]],"&lt;&gt;"&amp;"")</f>
        <v>0</v>
      </c>
      <c r="T7" s="41">
        <f>COUNTIFS(
Combined_Data_Table[[SAMPLE.AUFSCHLUSS]:[SAMPLE.AUFSCHLUSS]],"="&amp;T2,
Combined_Data_Table[[PARAMETER.RUK.ID]:[PARAMETER.RUK.ID]],"&lt;&gt;"&amp;"")</f>
        <v>0</v>
      </c>
      <c r="U7" s="41">
        <f>COUNTIFS(
Combined_Data_Table[[SAMPLE.AUFSCHLUSS]:[SAMPLE.AUFSCHLUSS]],"="&amp;U2,
Combined_Data_Table[[PARAMETER.RUK.ID]:[PARAMETER.RUK.ID]],"&lt;&gt;"&amp;"")</f>
        <v>0</v>
      </c>
      <c r="V7" s="41">
        <f>COUNTIFS(
Combined_Data_Table[[SAMPLE.AUFSCHLUSS]:[SAMPLE.AUFSCHLUSS]],"="&amp;V2,
Combined_Data_Table[[PARAMETER.RUK.ID]:[PARAMETER.RUK.ID]],"&lt;&gt;"&amp;"")</f>
        <v>0</v>
      </c>
      <c r="W7" s="41">
        <f>COUNTIFS(
Combined_Data_Table[[SAMPLE.AUFSCHLUSS]:[SAMPLE.AUFSCHLUSS]],"="&amp;W2,
Combined_Data_Table[[PARAMETER.RUK.ID]:[PARAMETER.RUK.ID]],"&lt;&gt;"&amp;"")</f>
        <v>0</v>
      </c>
    </row>
    <row r="8" spans="1:26" ht="14.1" customHeight="1" x14ac:dyDescent="0.25">
      <c r="A8" s="67" t="str">
        <f>"TOB"&amp;CHAR(10)&amp;"Probenahme"</f>
        <v>TOB
Probenahme</v>
      </c>
      <c r="B8" s="60" t="str">
        <f>IF(tob_proben_anzahl&gt;0,"Tragschicht ohne Bindemittel:","")</f>
        <v>Tragschicht ohne Bindemittel:</v>
      </c>
      <c r="C8" s="60"/>
      <c r="D8" s="60"/>
      <c r="E8" s="60"/>
      <c r="F8" s="60"/>
      <c r="G8" s="60"/>
      <c r="H8" s="60"/>
      <c r="M8" s="45" t="s">
        <v>189</v>
      </c>
      <c r="N8" s="41">
        <f>COUNTIFS(
Combined_Data_Table[[SAMPLE.AUFSCHLUSS]:[SAMPLE.AUFSCHLUSS]],"="&amp;$N$2,
Combined_Data_Table[[SAMPLE.ART]:[SAMPLE.ART]],"="&amp;$M$8)</f>
        <v>2</v>
      </c>
      <c r="O8" s="41">
        <f>COUNTIFS(
Combined_Data_Table[[SAMPLE.AUFSCHLUSS]:[SAMPLE.AUFSCHLUSS]],"="&amp;O2,
Combined_Data_Table[[SAMPLE.ART]:[SAMPLE.ART]],"="&amp;$M$8)</f>
        <v>0</v>
      </c>
      <c r="P8" s="41">
        <f>COUNTIFS(
Combined_Data_Table[[SAMPLE.AUFSCHLUSS]:[SAMPLE.AUFSCHLUSS]],"="&amp;P2,
Combined_Data_Table[[SAMPLE.ART]:[SAMPLE.ART]],"="&amp;$M$8)</f>
        <v>0</v>
      </c>
      <c r="Q8" s="41">
        <f>COUNTIFS(
Combined_Data_Table[[SAMPLE.AUFSCHLUSS]:[SAMPLE.AUFSCHLUSS]],"="&amp;Q2,
Combined_Data_Table[[SAMPLE.ART]:[SAMPLE.ART]],"="&amp;$M$8)</f>
        <v>0</v>
      </c>
      <c r="R8" s="41">
        <f>COUNTIFS(
Combined_Data_Table[[SAMPLE.AUFSCHLUSS]:[SAMPLE.AUFSCHLUSS]],"="&amp;R2,
Combined_Data_Table[[SAMPLE.ART]:[SAMPLE.ART]],"="&amp;$M$8)</f>
        <v>0</v>
      </c>
      <c r="S8" s="41">
        <f>COUNTIFS(
Combined_Data_Table[[SAMPLE.AUFSCHLUSS]:[SAMPLE.AUFSCHLUSS]],"="&amp;S2,
Combined_Data_Table[[SAMPLE.ART]:[SAMPLE.ART]],"="&amp;$M$8)</f>
        <v>0</v>
      </c>
      <c r="T8" s="41">
        <f>COUNTIFS(
Combined_Data_Table[[SAMPLE.AUFSCHLUSS]:[SAMPLE.AUFSCHLUSS]],"="&amp;T2,
Combined_Data_Table[[SAMPLE.ART]:[SAMPLE.ART]],"="&amp;$M$8)</f>
        <v>0</v>
      </c>
      <c r="U8" s="41">
        <f>COUNTIFS(
Combined_Data_Table[[SAMPLE.AUFSCHLUSS]:[SAMPLE.AUFSCHLUSS]],"="&amp;U2,
Combined_Data_Table[[SAMPLE.ART]:[SAMPLE.ART]],"="&amp;$M$8)</f>
        <v>0</v>
      </c>
      <c r="V8" s="41">
        <f>COUNTIFS(
Combined_Data_Table[[SAMPLE.AUFSCHLUSS]:[SAMPLE.AUFSCHLUSS]],"="&amp;V2,
Combined_Data_Table[[SAMPLE.ART]:[SAMPLE.ART]],"="&amp;$M$8)</f>
        <v>0</v>
      </c>
      <c r="W8" s="41">
        <f>COUNTIFS(
Combined_Data_Table[[SAMPLE.AUFSCHLUSS]:[SAMPLE.AUFSCHLUSS]],"="&amp;W2,
Combined_Data_Table[[SAMPLE.ART]:[SAMPLE.ART]],"="&amp;$M$8)</f>
        <v>0</v>
      </c>
    </row>
    <row r="9" spans="1:26" ht="14.1" customHeight="1" x14ac:dyDescent="0.25">
      <c r="A9" s="67"/>
      <c r="B9" s="61"/>
      <c r="C9" s="61"/>
      <c r="D9" s="61"/>
      <c r="E9" s="61"/>
      <c r="F9" s="61"/>
      <c r="G9" s="61"/>
      <c r="H9" s="61"/>
      <c r="J9" s="56" t="s">
        <v>231</v>
      </c>
      <c r="K9" s="56"/>
      <c r="M9" s="45" t="s">
        <v>550</v>
      </c>
      <c r="N9" s="41">
        <f>COUNTIFS(
Combined_Data_Table[[SAMPLE.AUFSCHLUSS]:[SAMPLE.AUFSCHLUSS]],"="&amp;$N$2,
Combined_Data_Table[[SAMPLE.ART]:[SAMPLE.ART]],"="&amp;$M$9)</f>
        <v>0</v>
      </c>
      <c r="O9" s="41">
        <f>COUNTIFS(
Combined_Data_Table[[SAMPLE.AUFSCHLUSS]:[SAMPLE.AUFSCHLUSS]],"="&amp;O2,
Combined_Data_Table[[SAMPLE.ART]:[SAMPLE.ART]],"="&amp;$M$9)</f>
        <v>0</v>
      </c>
      <c r="P9" s="41">
        <f>COUNTIFS(
Combined_Data_Table[[SAMPLE.AUFSCHLUSS]:[SAMPLE.AUFSCHLUSS]],"="&amp;P2,
Combined_Data_Table[[SAMPLE.ART]:[SAMPLE.ART]],"="&amp;$M$9)</f>
        <v>0</v>
      </c>
      <c r="Q9" s="41">
        <f>COUNTIFS(
Combined_Data_Table[[SAMPLE.AUFSCHLUSS]:[SAMPLE.AUFSCHLUSS]],"="&amp;Q2,
Combined_Data_Table[[SAMPLE.ART]:[SAMPLE.ART]],"="&amp;$M$9)</f>
        <v>0</v>
      </c>
      <c r="R9" s="41">
        <f>COUNTIFS(
Combined_Data_Table[[SAMPLE.AUFSCHLUSS]:[SAMPLE.AUFSCHLUSS]],"="&amp;R2,
Combined_Data_Table[[SAMPLE.ART]:[SAMPLE.ART]],"="&amp;$M$9)</f>
        <v>0</v>
      </c>
      <c r="S9" s="41">
        <f>COUNTIFS(
Combined_Data_Table[[SAMPLE.AUFSCHLUSS]:[SAMPLE.AUFSCHLUSS]],"="&amp;S2,
Combined_Data_Table[[SAMPLE.ART]:[SAMPLE.ART]],"="&amp;$M$9)</f>
        <v>0</v>
      </c>
      <c r="T9" s="41">
        <f>COUNTIFS(
Combined_Data_Table[[SAMPLE.AUFSCHLUSS]:[SAMPLE.AUFSCHLUSS]],"="&amp;T2,
Combined_Data_Table[[SAMPLE.ART]:[SAMPLE.ART]],"="&amp;$M$9)</f>
        <v>0</v>
      </c>
      <c r="U9" s="41">
        <f>COUNTIFS(
Combined_Data_Table[[SAMPLE.AUFSCHLUSS]:[SAMPLE.AUFSCHLUSS]],"="&amp;U2,
Combined_Data_Table[[SAMPLE.ART]:[SAMPLE.ART]],"="&amp;$M$9)</f>
        <v>0</v>
      </c>
      <c r="V9" s="41">
        <f>COUNTIFS(
Combined_Data_Table[[SAMPLE.AUFSCHLUSS]:[SAMPLE.AUFSCHLUSS]],"="&amp;V2,
Combined_Data_Table[[SAMPLE.ART]:[SAMPLE.ART]],"="&amp;$M$9)</f>
        <v>0</v>
      </c>
      <c r="W9" s="41">
        <f>COUNTIFS(
Combined_Data_Table[[SAMPLE.AUFSCHLUSS]:[SAMPLE.AUFSCHLUSS]],"="&amp;W2,
Combined_Data_Table[[SAMPLE.ART]:[SAMPLE.ART]],"="&amp;$M$9)</f>
        <v>0</v>
      </c>
    </row>
    <row r="10" spans="1:26" ht="14.1" customHeight="1" x14ac:dyDescent="0.25">
      <c r="A10" s="67"/>
      <c r="B10" s="42" t="str">
        <f>IF(AND(tob_ueberschrift&lt;&gt;"",tob_erster_punkt&lt;&gt;""),"-","")</f>
        <v>-</v>
      </c>
      <c r="C10" s="58" t="str">
        <f>IF(tob_ueberschrift&lt;&gt;"",IF(tob_lp_text&lt;&gt;"",tob_lp_text,IF(tob_schichtdicke_text&lt;&gt;"",tob_schichtdicke_text,IF(tob_korngroessenverteilung_text&lt;&gt;"",tob_korngroessenverteilung_text,""))))</f>
        <v>Plattendruckversuch, dynamisch</v>
      </c>
      <c r="D10" s="58"/>
      <c r="E10" s="58"/>
      <c r="F10" s="58"/>
      <c r="G10" s="58"/>
      <c r="H10" s="58"/>
      <c r="M10" s="45" t="s">
        <v>551</v>
      </c>
      <c r="N10" s="41">
        <f>COUNTIFS(
Combined_Data_Table[[SAMPLE.AUFSCHLUSS]:[SAMPLE.AUFSCHLUSS]],"="&amp;$N$2,
Combined_Data_Table[[SAMPLE.ART]:[SAMPLE.ART]],"="&amp;$M$10)</f>
        <v>0</v>
      </c>
      <c r="O10" s="41">
        <f>COUNTIFS(
Combined_Data_Table[[SAMPLE.AUFSCHLUSS]:[SAMPLE.AUFSCHLUSS]],"="&amp;O2,
Combined_Data_Table[[SAMPLE.ART]:[SAMPLE.ART]],"="&amp;$M$10)</f>
        <v>0</v>
      </c>
      <c r="P10" s="41">
        <f>COUNTIFS(
Combined_Data_Table[[SAMPLE.AUFSCHLUSS]:[SAMPLE.AUFSCHLUSS]],"="&amp;P2,
Combined_Data_Table[[SAMPLE.ART]:[SAMPLE.ART]],"="&amp;$M$10)</f>
        <v>0</v>
      </c>
      <c r="Q10" s="41">
        <f>COUNTIFS(
Combined_Data_Table[[SAMPLE.AUFSCHLUSS]:[SAMPLE.AUFSCHLUSS]],"="&amp;Q2,
Combined_Data_Table[[SAMPLE.ART]:[SAMPLE.ART]],"="&amp;$M$10)</f>
        <v>0</v>
      </c>
      <c r="R10" s="41">
        <f>COUNTIFS(
Combined_Data_Table[[SAMPLE.AUFSCHLUSS]:[SAMPLE.AUFSCHLUSS]],"="&amp;R2,
Combined_Data_Table[[SAMPLE.ART]:[SAMPLE.ART]],"="&amp;$M$10)</f>
        <v>0</v>
      </c>
      <c r="S10" s="41">
        <f>COUNTIFS(
Combined_Data_Table[[SAMPLE.AUFSCHLUSS]:[SAMPLE.AUFSCHLUSS]],"="&amp;S2,
Combined_Data_Table[[SAMPLE.ART]:[SAMPLE.ART]],"="&amp;$M$10)</f>
        <v>0</v>
      </c>
      <c r="T10" s="41">
        <f>COUNTIFS(
Combined_Data_Table[[SAMPLE.AUFSCHLUSS]:[SAMPLE.AUFSCHLUSS]],"="&amp;T2,
Combined_Data_Table[[SAMPLE.ART]:[SAMPLE.ART]],"="&amp;$M$10)</f>
        <v>0</v>
      </c>
      <c r="U10" s="41">
        <f>COUNTIFS(
Combined_Data_Table[[SAMPLE.AUFSCHLUSS]:[SAMPLE.AUFSCHLUSS]],"="&amp;U2,
Combined_Data_Table[[SAMPLE.ART]:[SAMPLE.ART]],"="&amp;$M$10)</f>
        <v>0</v>
      </c>
      <c r="V10" s="41">
        <f>COUNTIFS(
Combined_Data_Table[[SAMPLE.AUFSCHLUSS]:[SAMPLE.AUFSCHLUSS]],"="&amp;V2,
Combined_Data_Table[[SAMPLE.ART]:[SAMPLE.ART]],"="&amp;$M$10)</f>
        <v>0</v>
      </c>
      <c r="W10" s="41">
        <f>COUNTIFS(
Combined_Data_Table[[SAMPLE.AUFSCHLUSS]:[SAMPLE.AUFSCHLUSS]],"="&amp;W2,
Combined_Data_Table[[SAMPLE.ART]:[SAMPLE.ART]],"="&amp;$M$10)</f>
        <v>0</v>
      </c>
    </row>
    <row r="11" spans="1:26" ht="14.1" customHeight="1" x14ac:dyDescent="0.25">
      <c r="A11" s="67"/>
      <c r="B11" s="42" t="str">
        <f>IF(AND(tob_ueberschrift&lt;&gt;"",tob_erster_punkt&lt;&gt;"",tob_zweiter_punkt&lt;&gt;""),"-","")</f>
        <v>-</v>
      </c>
      <c r="C11" s="58" t="str">
        <f>IF(tob_ueberschrift&lt;&gt;"",
IF(AND(tob_erster_punkt=tob_lp_text,tob_schichtdicke_text&lt;&gt;""),tob_schichtdicke_text,IF(AND(tob_korngroessenverteilung_text&lt;&gt;"",OR(tob_erster_punkt=tob_schichtdicke_text,tob_erster_punkt=tob_lp_text)),tob_korngroessenverteilung_text,"")),"")</f>
        <v>Schichtdicke (materialspezifisch)</v>
      </c>
      <c r="D11" s="58"/>
      <c r="E11" s="58"/>
      <c r="F11" s="58"/>
      <c r="G11" s="58"/>
      <c r="H11" s="58"/>
      <c r="M11" s="45" t="s">
        <v>554</v>
      </c>
      <c r="N11" s="41">
        <f>COUNTIFS(
Combined_Data_Table[[SAMPLE.AUFSCHLUSS]:[SAMPLE.AUFSCHLUSS]],"="&amp;N2,
Combined_Data_Table[[PARAMETER.LP.ID]:[PARAMETER.LP.ID]],"&lt;&gt;"&amp;"")</f>
        <v>2</v>
      </c>
      <c r="O11" s="41">
        <f>COUNTIFS(
Combined_Data_Table[[SAMPLE.AUFSCHLUSS]:[SAMPLE.AUFSCHLUSS]],"="&amp;O2,
Combined_Data_Table[[PARAMETER.LP.ID]:[PARAMETER.LP.ID]],"&lt;&gt;"&amp;"")</f>
        <v>1</v>
      </c>
      <c r="P11" s="41">
        <f>COUNTIFS(
Combined_Data_Table[[SAMPLE.AUFSCHLUSS]:[SAMPLE.AUFSCHLUSS]],"="&amp;P2,
Combined_Data_Table[[PARAMETER.LP.ID]:[PARAMETER.LP.ID]],"&lt;&gt;"&amp;"")</f>
        <v>0</v>
      </c>
      <c r="Q11" s="41">
        <f>COUNTIFS(
Combined_Data_Table[[SAMPLE.AUFSCHLUSS]:[SAMPLE.AUFSCHLUSS]],"="&amp;Q2,
Combined_Data_Table[[PARAMETER.LP.ID]:[PARAMETER.LP.ID]],"&lt;&gt;"&amp;"")</f>
        <v>0</v>
      </c>
      <c r="R11" s="41">
        <f>COUNTIFS(
Combined_Data_Table[[SAMPLE.AUFSCHLUSS]:[SAMPLE.AUFSCHLUSS]],"="&amp;R2,
Combined_Data_Table[[PARAMETER.LP.ID]:[PARAMETER.LP.ID]],"&lt;&gt;"&amp;"")</f>
        <v>0</v>
      </c>
      <c r="S11" s="41">
        <f>COUNTIFS(
Combined_Data_Table[[SAMPLE.AUFSCHLUSS]:[SAMPLE.AUFSCHLUSS]],"="&amp;S2,
Combined_Data_Table[[PARAMETER.LP.ID]:[PARAMETER.LP.ID]],"&lt;&gt;"&amp;"")</f>
        <v>0</v>
      </c>
      <c r="T11" s="41">
        <f>COUNTIFS(
Combined_Data_Table[[SAMPLE.AUFSCHLUSS]:[SAMPLE.AUFSCHLUSS]],"="&amp;T2,
Combined_Data_Table[[PARAMETER.LP.ID]:[PARAMETER.LP.ID]],"&lt;&gt;"&amp;"")</f>
        <v>0</v>
      </c>
      <c r="U11" s="41">
        <f>COUNTIFS(
Combined_Data_Table[[SAMPLE.AUFSCHLUSS]:[SAMPLE.AUFSCHLUSS]],"="&amp;U2,
Combined_Data_Table[[PARAMETER.LP.ID]:[PARAMETER.LP.ID]],"&lt;&gt;"&amp;"")</f>
        <v>0</v>
      </c>
      <c r="V11" s="41">
        <f>COUNTIFS(
Combined_Data_Table[[SAMPLE.AUFSCHLUSS]:[SAMPLE.AUFSCHLUSS]],"="&amp;V2,
Combined_Data_Table[[PARAMETER.LP.ID]:[PARAMETER.LP.ID]],"&lt;&gt;"&amp;"")</f>
        <v>0</v>
      </c>
      <c r="W11" s="41">
        <f>COUNTIFS(
Combined_Data_Table[[SAMPLE.AUFSCHLUSS]:[SAMPLE.AUFSCHLUSS]],"="&amp;W2,
Combined_Data_Table[[PARAMETER.LP.ID]:[PARAMETER.LP.ID]],"&lt;&gt;"&amp;"")</f>
        <v>0</v>
      </c>
    </row>
    <row r="12" spans="1:26" ht="14.1" customHeight="1" x14ac:dyDescent="0.25">
      <c r="A12" s="67"/>
      <c r="B12" s="42" t="str">
        <f>IF(AND(tob_ueberschrift&lt;&gt;"",tob_erster_punkt&lt;&gt;"",tob_zweiter_punkt&lt;&gt;"",C12&lt;&gt;""),"-","")</f>
        <v/>
      </c>
      <c r="C12" s="57" t="str">
        <f>IF(
tob_ueberschrift&lt;&gt;"",
IF(AND(tob_schichtdicke_text&lt;&gt;"",tob_zweiter_punkt=tob_schichtdicke_text,tob_korngroessenverteilung_text&lt;&gt;""),tob_korngroessenverteilung_text,""),"")</f>
        <v/>
      </c>
      <c r="D12" s="57"/>
      <c r="E12" s="57"/>
      <c r="F12" s="57"/>
      <c r="G12" s="57"/>
      <c r="H12" s="57"/>
      <c r="J12" s="46" t="s">
        <v>565</v>
      </c>
      <c r="K12" s="40" t="str">
        <f>IF(tob_lp&gt;0,"Plattendruckversuch, dynamisch","")</f>
        <v>Plattendruckversuch, dynamisch</v>
      </c>
      <c r="M12" s="45" t="s">
        <v>555</v>
      </c>
      <c r="N12" s="41">
        <f>COUNTIFS(
Combined_Data_Table[[SAMPLE.AUFSCHLUSS]:[SAMPLE.AUFSCHLUSS]],"="&amp;N2,
Combined_Data_Table[[SAMPLE.DICKE]:[SAMPLE.DICKE]],"&lt;&gt;"&amp;"")</f>
        <v>7</v>
      </c>
      <c r="O12" s="41">
        <f>COUNTIFS(
Combined_Data_Table[[SAMPLE.AUFSCHLUSS]:[SAMPLE.AUFSCHLUSS]],"="&amp;O2,
Combined_Data_Table[[SAMPLE.DICKE]:[SAMPLE.DICKE]],"&lt;&gt;"&amp;"")</f>
        <v>2</v>
      </c>
      <c r="P12" s="41">
        <f>COUNTIFS(
Combined_Data_Table[[SAMPLE.AUFSCHLUSS]:[SAMPLE.AUFSCHLUSS]],"="&amp;P2,
Combined_Data_Table[[SAMPLE.DICKE]:[SAMPLE.DICKE]],"&lt;&gt;"&amp;"")</f>
        <v>1</v>
      </c>
      <c r="Q12" s="41">
        <f>COUNTIFS(
Combined_Data_Table[[SAMPLE.AUFSCHLUSS]:[SAMPLE.AUFSCHLUSS]],"="&amp;Q2,
Combined_Data_Table[[SAMPLE.DICKE]:[SAMPLE.DICKE]],"&lt;&gt;"&amp;"")</f>
        <v>0</v>
      </c>
      <c r="R12" s="41">
        <f>COUNTIFS(
Combined_Data_Table[[SAMPLE.AUFSCHLUSS]:[SAMPLE.AUFSCHLUSS]],"="&amp;R2,
Combined_Data_Table[[SAMPLE.DICKE]:[SAMPLE.DICKE]],"&lt;&gt;"&amp;"")</f>
        <v>0</v>
      </c>
      <c r="S12" s="41">
        <f>COUNTIFS(
Combined_Data_Table[[SAMPLE.AUFSCHLUSS]:[SAMPLE.AUFSCHLUSS]],"="&amp;S2,
Combined_Data_Table[[SAMPLE.DICKE]:[SAMPLE.DICKE]],"&lt;&gt;"&amp;"")</f>
        <v>0</v>
      </c>
      <c r="T12" s="41">
        <f>COUNTIFS(
Combined_Data_Table[[SAMPLE.AUFSCHLUSS]:[SAMPLE.AUFSCHLUSS]],"="&amp;T2,
Combined_Data_Table[[SAMPLE.DICKE]:[SAMPLE.DICKE]],"&lt;&gt;"&amp;"")</f>
        <v>0</v>
      </c>
      <c r="U12" s="41">
        <f>COUNTIFS(
Combined_Data_Table[[SAMPLE.AUFSCHLUSS]:[SAMPLE.AUFSCHLUSS]],"="&amp;U2,
Combined_Data_Table[[SAMPLE.DICKE]:[SAMPLE.DICKE]],"&lt;&gt;"&amp;"")</f>
        <v>0</v>
      </c>
      <c r="V12" s="41">
        <f>COUNTIFS(
Combined_Data_Table[[SAMPLE.AUFSCHLUSS]:[SAMPLE.AUFSCHLUSS]],"="&amp;V2,
Combined_Data_Table[[SAMPLE.DICKE]:[SAMPLE.DICKE]],"&lt;&gt;"&amp;"")</f>
        <v>0</v>
      </c>
      <c r="W12" s="41">
        <f>COUNTIFS(
Combined_Data_Table[[SAMPLE.AUFSCHLUSS]:[SAMPLE.AUFSCHLUSS]],"="&amp;W2,
Combined_Data_Table[[SAMPLE.DICKE]:[SAMPLE.DICKE]],"&lt;&gt;"&amp;"")</f>
        <v>0</v>
      </c>
    </row>
    <row r="13" spans="1:26" ht="14.1" customHeight="1" x14ac:dyDescent="0.25">
      <c r="A13" s="67"/>
      <c r="B13" s="42" t="s">
        <v>561</v>
      </c>
      <c r="C13" s="57" t="s">
        <v>557</v>
      </c>
      <c r="D13" s="57"/>
      <c r="E13" s="57"/>
      <c r="F13" s="57"/>
      <c r="G13" s="57"/>
      <c r="H13" s="57"/>
      <c r="J13" s="46" t="s">
        <v>566</v>
      </c>
      <c r="K13" s="40" t="str">
        <f>IF(tob_schichtdicke&gt;0,"Schichtdicke (materialspezifisch)","")</f>
        <v>Schichtdicke (materialspezifisch)</v>
      </c>
      <c r="M13" s="45" t="s">
        <v>556</v>
      </c>
      <c r="N13" s="41">
        <f>COUNTIFS(
Combined_Data_Table[[SAMPLE.AUFSCHLUSS]:[SAMPLE.AUFSCHLUSS]],"="&amp;N2,
Combined_Data_Table[[SAMPLE.KORNGROESSENVERTEILUNG]:[SAMPLE.KORNGROESSENVERTEILUNG]],"&lt;&gt;"&amp;"")</f>
        <v>3</v>
      </c>
      <c r="O13" s="41">
        <f>COUNTIFS(
Combined_Data_Table[[SAMPLE.AUFSCHLUSS]:[SAMPLE.AUFSCHLUSS]],"="&amp;O2,
Combined_Data_Table[[SAMPLE.KORNGROESSENVERTEILUNG]:[SAMPLE.KORNGROESSENVERTEILUNG]],"&lt;&gt;"&amp;"")</f>
        <v>0</v>
      </c>
      <c r="P13" s="41">
        <f>COUNTIFS(
Combined_Data_Table[[SAMPLE.AUFSCHLUSS]:[SAMPLE.AUFSCHLUSS]],"="&amp;P2,
Combined_Data_Table[[SAMPLE.KORNGROESSENVERTEILUNG]:[SAMPLE.KORNGROESSENVERTEILUNG]],"&lt;&gt;"&amp;"")</f>
        <v>0</v>
      </c>
      <c r="Q13" s="41">
        <f>COUNTIFS(
Combined_Data_Table[[SAMPLE.AUFSCHLUSS]:[SAMPLE.AUFSCHLUSS]],"="&amp;Q2,
Combined_Data_Table[[SAMPLE.KORNGROESSENVERTEILUNG]:[SAMPLE.KORNGROESSENVERTEILUNG]],"&lt;&gt;"&amp;"")</f>
        <v>0</v>
      </c>
      <c r="R13" s="41">
        <f>COUNTIFS(
Combined_Data_Table[[SAMPLE.AUFSCHLUSS]:[SAMPLE.AUFSCHLUSS]],"="&amp;R2,
Combined_Data_Table[[SAMPLE.KORNGROESSENVERTEILUNG]:[SAMPLE.KORNGROESSENVERTEILUNG]],"&lt;&gt;"&amp;"")</f>
        <v>0</v>
      </c>
      <c r="S13" s="41">
        <f>COUNTIFS(
Combined_Data_Table[[SAMPLE.AUFSCHLUSS]:[SAMPLE.AUFSCHLUSS]],"="&amp;S2,
Combined_Data_Table[[SAMPLE.KORNGROESSENVERTEILUNG]:[SAMPLE.KORNGROESSENVERTEILUNG]],"&lt;&gt;"&amp;"")</f>
        <v>0</v>
      </c>
      <c r="T13" s="41">
        <f>COUNTIFS(
Combined_Data_Table[[SAMPLE.AUFSCHLUSS]:[SAMPLE.AUFSCHLUSS]],"="&amp;T2,
Combined_Data_Table[[SAMPLE.KORNGROESSENVERTEILUNG]:[SAMPLE.KORNGROESSENVERTEILUNG]],"&lt;&gt;"&amp;"")</f>
        <v>0</v>
      </c>
      <c r="U13" s="41">
        <f>COUNTIFS(
Combined_Data_Table[[SAMPLE.AUFSCHLUSS]:[SAMPLE.AUFSCHLUSS]],"="&amp;U2,
Combined_Data_Table[[SAMPLE.KORNGROESSENVERTEILUNG]:[SAMPLE.KORNGROESSENVERTEILUNG]],"&lt;&gt;"&amp;"")</f>
        <v>0</v>
      </c>
      <c r="V13" s="41">
        <f>COUNTIFS(
Combined_Data_Table[[SAMPLE.AUFSCHLUSS]:[SAMPLE.AUFSCHLUSS]],"="&amp;V2,
Combined_Data_Table[[SAMPLE.KORNGROESSENVERTEILUNG]:[SAMPLE.KORNGROESSENVERTEILUNG]],"&lt;&gt;"&amp;"")</f>
        <v>0</v>
      </c>
      <c r="W13" s="41">
        <f>COUNTIFS(
Combined_Data_Table[[SAMPLE.AUFSCHLUSS]:[SAMPLE.AUFSCHLUSS]],"="&amp;W2,
Combined_Data_Table[[SAMPLE.KORNGROESSENVERTEILUNG]:[SAMPLE.KORNGROESSENVERTEILUNG]],"&lt;&gt;"&amp;"")</f>
        <v>0</v>
      </c>
    </row>
    <row r="14" spans="1:26" ht="14.1" customHeight="1" x14ac:dyDescent="0.2">
      <c r="A14" s="67"/>
      <c r="B14" s="42" t="s">
        <v>561</v>
      </c>
      <c r="C14" s="57" t="s">
        <v>558</v>
      </c>
      <c r="D14" s="57"/>
      <c r="E14" s="57"/>
      <c r="F14" s="57"/>
      <c r="G14" s="57"/>
      <c r="H14" s="57"/>
      <c r="J14" s="46" t="s">
        <v>567</v>
      </c>
      <c r="K14" s="40" t="str">
        <f>IF(tob_korngroessenverteilung&gt;0,"Korngrößenverteilung","")</f>
        <v/>
      </c>
    </row>
    <row r="15" spans="1:26" ht="14.1" customHeight="1" x14ac:dyDescent="0.2">
      <c r="A15" s="67"/>
      <c r="B15" s="42" t="s">
        <v>561</v>
      </c>
      <c r="C15" s="57" t="s">
        <v>569</v>
      </c>
      <c r="D15" s="57"/>
      <c r="E15" s="57"/>
      <c r="F15" s="57"/>
      <c r="G15" s="57"/>
      <c r="H15" s="57"/>
    </row>
    <row r="16" spans="1:26" ht="14.1" customHeight="1" x14ac:dyDescent="0.2">
      <c r="A16" s="67"/>
      <c r="B16" s="42" t="s">
        <v>561</v>
      </c>
      <c r="C16" s="57" t="s">
        <v>559</v>
      </c>
      <c r="D16" s="57"/>
      <c r="E16" s="57"/>
      <c r="F16" s="57"/>
      <c r="G16" s="57"/>
      <c r="H16" s="57"/>
      <c r="J16" s="43"/>
      <c r="L16" s="43"/>
      <c r="M16" s="43"/>
      <c r="N16" s="43"/>
      <c r="O16" s="43"/>
    </row>
    <row r="17" spans="1:12" ht="14.1" customHeight="1" x14ac:dyDescent="0.25">
      <c r="A17" s="67"/>
      <c r="B17" s="42" t="s">
        <v>561</v>
      </c>
      <c r="C17" s="57" t="s">
        <v>560</v>
      </c>
      <c r="D17" s="57"/>
      <c r="E17" s="57"/>
      <c r="F17" s="57"/>
      <c r="G17" s="57"/>
      <c r="H17" s="57"/>
      <c r="J17" s="56" t="s">
        <v>248</v>
      </c>
      <c r="K17" s="56"/>
    </row>
    <row r="18" spans="1:12" ht="14.25" customHeight="1" x14ac:dyDescent="0.2">
      <c r="A18" s="67"/>
      <c r="B18" s="65"/>
      <c r="C18" s="65"/>
      <c r="D18" s="65"/>
      <c r="E18" s="65"/>
      <c r="F18" s="65"/>
      <c r="G18" s="65"/>
      <c r="H18" s="65"/>
    </row>
    <row r="19" spans="1:12" ht="14.25" customHeight="1" x14ac:dyDescent="0.2">
      <c r="A19" s="67"/>
      <c r="B19" s="66" t="s">
        <v>571</v>
      </c>
      <c r="C19" s="66"/>
      <c r="D19" s="66"/>
      <c r="E19" s="66"/>
      <c r="F19" s="66"/>
      <c r="G19" s="66"/>
      <c r="H19" s="66"/>
    </row>
    <row r="20" spans="1:12" x14ac:dyDescent="0.2">
      <c r="A20" s="67"/>
      <c r="B20" s="66"/>
      <c r="C20" s="66"/>
      <c r="D20" s="66"/>
      <c r="E20" s="66"/>
      <c r="F20" s="66"/>
      <c r="G20" s="66"/>
      <c r="H20" s="66"/>
    </row>
    <row r="21" spans="1:12" x14ac:dyDescent="0.2">
      <c r="A21" s="67"/>
      <c r="B21" s="66"/>
      <c r="C21" s="66"/>
      <c r="D21" s="66"/>
      <c r="E21" s="66"/>
      <c r="F21" s="66"/>
      <c r="G21" s="66"/>
      <c r="H21" s="66"/>
    </row>
    <row r="22" spans="1:12" x14ac:dyDescent="0.2">
      <c r="B22" s="61"/>
      <c r="C22" s="61"/>
      <c r="D22" s="61"/>
      <c r="E22" s="61"/>
      <c r="F22" s="61"/>
      <c r="G22" s="61"/>
      <c r="H22" s="61"/>
      <c r="J22" s="39"/>
      <c r="K22" s="39"/>
      <c r="L22" s="39"/>
    </row>
    <row r="23" spans="1:12" x14ac:dyDescent="0.2">
      <c r="B23" s="49"/>
      <c r="C23" s="49"/>
      <c r="D23" s="49"/>
      <c r="E23" s="49"/>
      <c r="F23" s="49"/>
      <c r="G23" s="49"/>
      <c r="H23" s="49"/>
      <c r="J23" s="39"/>
      <c r="K23" s="39"/>
      <c r="L23" s="39"/>
    </row>
    <row r="24" spans="1:12" x14ac:dyDescent="0.2">
      <c r="B24" s="49"/>
      <c r="C24" s="49"/>
      <c r="D24" s="49"/>
      <c r="E24" s="49"/>
      <c r="F24" s="49"/>
      <c r="G24" s="49"/>
      <c r="H24" s="49"/>
      <c r="J24" s="39"/>
      <c r="K24" s="39"/>
      <c r="L24" s="39"/>
    </row>
    <row r="25" spans="1:12" x14ac:dyDescent="0.2">
      <c r="J25" s="39"/>
      <c r="K25" s="39"/>
      <c r="L25" s="39"/>
    </row>
    <row r="26" spans="1:12" x14ac:dyDescent="0.2">
      <c r="B26" s="60" t="s">
        <v>570</v>
      </c>
      <c r="C26" s="60"/>
      <c r="D26" s="60"/>
      <c r="E26" s="60"/>
      <c r="F26" s="60"/>
      <c r="G26" s="60"/>
      <c r="H26" s="60"/>
      <c r="J26" s="39"/>
      <c r="K26" s="39"/>
      <c r="L26" s="39"/>
    </row>
    <row r="27" spans="1:12" x14ac:dyDescent="0.2">
      <c r="B27" s="61"/>
      <c r="C27" s="61"/>
      <c r="D27" s="61"/>
      <c r="E27" s="61"/>
      <c r="F27" s="61"/>
      <c r="G27" s="61"/>
      <c r="H27" s="61"/>
      <c r="J27" s="39"/>
      <c r="K27" s="39"/>
      <c r="L27" s="39"/>
    </row>
    <row r="28" spans="1:12" ht="12.75" customHeight="1" x14ac:dyDescent="0.2">
      <c r="J28" s="39"/>
      <c r="K28" s="39"/>
      <c r="L28" s="39"/>
    </row>
    <row r="29" spans="1:12" ht="12.75" customHeight="1" x14ac:dyDescent="0.2"/>
    <row r="30" spans="1:12" ht="12.75" customHeight="1" x14ac:dyDescent="0.2"/>
    <row r="31" spans="1:12" ht="12.75" customHeight="1" x14ac:dyDescent="0.2"/>
    <row r="32" spans="1:12" ht="12.75" customHeight="1" x14ac:dyDescent="0.2">
      <c r="L32" s="48"/>
    </row>
    <row r="33" spans="3:12" ht="14.25" customHeight="1" x14ac:dyDescent="0.2">
      <c r="C33" s="39"/>
      <c r="D33" s="39"/>
      <c r="L33" s="48"/>
    </row>
    <row r="34" spans="3:12" ht="14.25" customHeight="1" x14ac:dyDescent="0.2">
      <c r="L34" s="48"/>
    </row>
    <row r="35" spans="3:12" ht="14.25" customHeight="1" x14ac:dyDescent="0.2">
      <c r="L35" s="48"/>
    </row>
    <row r="36" spans="3:12" ht="14.25" customHeight="1" x14ac:dyDescent="0.2">
      <c r="L36" s="47"/>
    </row>
    <row r="37" spans="3:12" ht="14.25" customHeight="1" x14ac:dyDescent="0.2">
      <c r="L37" s="47"/>
    </row>
    <row r="38" spans="3:12" ht="14.25" customHeight="1" x14ac:dyDescent="0.2">
      <c r="L38" s="47"/>
    </row>
    <row r="39" spans="3:12" ht="14.25" customHeight="1" x14ac:dyDescent="0.2">
      <c r="L39" s="47"/>
    </row>
    <row r="40" spans="3:12" ht="14.25" customHeight="1" x14ac:dyDescent="0.2">
      <c r="L40" s="47"/>
    </row>
    <row r="47" spans="3:12" ht="15" x14ac:dyDescent="0.2">
      <c r="J47" s="59"/>
      <c r="K47" s="59"/>
      <c r="L47" s="59"/>
    </row>
    <row r="48" spans="3:12" x14ac:dyDescent="0.2">
      <c r="I48" s="59"/>
      <c r="J48" s="54"/>
      <c r="K48" s="54"/>
      <c r="L48" s="54"/>
    </row>
    <row r="49" spans="9:9" x14ac:dyDescent="0.2">
      <c r="I49" s="59"/>
    </row>
    <row r="50" spans="9:9" x14ac:dyDescent="0.2">
      <c r="I50" s="59"/>
    </row>
    <row r="51" spans="9:9" x14ac:dyDescent="0.2">
      <c r="I51" s="59"/>
    </row>
  </sheetData>
  <mergeCells count="31">
    <mergeCell ref="A2:A6"/>
    <mergeCell ref="B8:H8"/>
    <mergeCell ref="B9:H9"/>
    <mergeCell ref="B7:H7"/>
    <mergeCell ref="B19:H21"/>
    <mergeCell ref="B18:H18"/>
    <mergeCell ref="A8:A21"/>
    <mergeCell ref="C13:H13"/>
    <mergeCell ref="C14:H14"/>
    <mergeCell ref="C15:H15"/>
    <mergeCell ref="C16:H16"/>
    <mergeCell ref="C17:H17"/>
    <mergeCell ref="C10:H10"/>
    <mergeCell ref="C12:H12"/>
    <mergeCell ref="B2:H2"/>
    <mergeCell ref="C4:H4"/>
    <mergeCell ref="N1:W1"/>
    <mergeCell ref="J48:L48"/>
    <mergeCell ref="J1:K2"/>
    <mergeCell ref="J3:K3"/>
    <mergeCell ref="B3:H3"/>
    <mergeCell ref="C5:H5"/>
    <mergeCell ref="C11:H11"/>
    <mergeCell ref="J9:K9"/>
    <mergeCell ref="J17:K17"/>
    <mergeCell ref="I48:I51"/>
    <mergeCell ref="J47:L47"/>
    <mergeCell ref="C6:H6"/>
    <mergeCell ref="B26:H26"/>
    <mergeCell ref="B27:H27"/>
    <mergeCell ref="B22:H22"/>
  </mergeCell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workbookViewId="0">
      <pane xSplit="1" topLeftCell="B1" activePane="topRight" state="frozen"/>
      <selection activeCell="M31" sqref="M31"/>
      <selection pane="topRight" activeCell="G4" sqref="G4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</row>
    <row r="2" spans="1:31" s="22" customFormat="1" x14ac:dyDescent="0.25">
      <c r="A2" s="22" t="s">
        <v>7</v>
      </c>
      <c r="B2" s="22" t="s">
        <v>104</v>
      </c>
      <c r="C2" s="22" t="s">
        <v>105</v>
      </c>
      <c r="D2" s="22" t="s">
        <v>489</v>
      </c>
      <c r="E2" s="22" t="s">
        <v>113</v>
      </c>
      <c r="F2" s="22" t="s">
        <v>176</v>
      </c>
      <c r="G2" s="22" t="s">
        <v>83</v>
      </c>
      <c r="H2" s="22" t="s">
        <v>114</v>
      </c>
      <c r="I2" s="22" t="s">
        <v>115</v>
      </c>
      <c r="J2" s="22" t="s">
        <v>173</v>
      </c>
      <c r="K2" s="22" t="s">
        <v>300</v>
      </c>
      <c r="L2" s="22" t="s">
        <v>174</v>
      </c>
      <c r="M2" s="22" t="s">
        <v>436</v>
      </c>
      <c r="N2" s="22" t="s">
        <v>437</v>
      </c>
      <c r="O2" s="22" t="s">
        <v>175</v>
      </c>
      <c r="P2" s="22" t="s">
        <v>177</v>
      </c>
      <c r="Q2" s="22" t="s">
        <v>404</v>
      </c>
      <c r="R2" s="22" t="s">
        <v>405</v>
      </c>
      <c r="S2" s="22" t="s">
        <v>107</v>
      </c>
      <c r="T2" s="22" t="s">
        <v>108</v>
      </c>
      <c r="U2" s="22" t="s">
        <v>184</v>
      </c>
      <c r="V2" s="22" t="s">
        <v>480</v>
      </c>
      <c r="W2" s="22" t="s">
        <v>481</v>
      </c>
      <c r="X2" s="22" t="s">
        <v>482</v>
      </c>
      <c r="Y2" s="22" t="s">
        <v>109</v>
      </c>
      <c r="Z2" s="22" t="s">
        <v>110</v>
      </c>
      <c r="AA2" s="22" t="s">
        <v>111</v>
      </c>
      <c r="AB2" s="22" t="s">
        <v>112</v>
      </c>
      <c r="AC2" s="22" t="s">
        <v>350</v>
      </c>
      <c r="AD2" s="22" t="s">
        <v>453</v>
      </c>
      <c r="AE2" s="22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483</v>
      </c>
    </row>
    <row r="4" spans="1:31" x14ac:dyDescent="0.25">
      <c r="A4" t="str">
        <f t="shared" si="0"/>
        <v>C1</v>
      </c>
      <c r="B4" t="s">
        <v>237</v>
      </c>
      <c r="D4" t="s">
        <v>237</v>
      </c>
      <c r="E4" t="s">
        <v>241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402</v>
      </c>
      <c r="Q4">
        <v>1</v>
      </c>
      <c r="R4">
        <v>1</v>
      </c>
      <c r="S4" t="s">
        <v>221</v>
      </c>
      <c r="T4" t="s">
        <v>221</v>
      </c>
      <c r="U4" t="s">
        <v>239</v>
      </c>
      <c r="W4" t="s">
        <v>484</v>
      </c>
      <c r="Y4" t="s">
        <v>267</v>
      </c>
      <c r="Z4" t="s">
        <v>503</v>
      </c>
      <c r="AA4" t="s">
        <v>469</v>
      </c>
      <c r="AB4" t="s">
        <v>5</v>
      </c>
      <c r="AC4">
        <v>1</v>
      </c>
      <c r="AE4" t="s">
        <v>239</v>
      </c>
    </row>
    <row r="5" spans="1:31" x14ac:dyDescent="0.25">
      <c r="A5" t="str">
        <f t="shared" si="0"/>
        <v>C2</v>
      </c>
      <c r="B5" t="s">
        <v>406</v>
      </c>
      <c r="S5" t="s">
        <v>238</v>
      </c>
      <c r="T5" t="s">
        <v>266</v>
      </c>
      <c r="X5" t="s">
        <v>239</v>
      </c>
      <c r="AA5" t="s">
        <v>471</v>
      </c>
      <c r="AB5" t="s">
        <v>239</v>
      </c>
    </row>
  </sheetData>
  <mergeCells count="1">
    <mergeCell ref="A1:AE1"/>
  </mergeCells>
  <phoneticPr fontId="1" type="noConversion"/>
  <dataValidations count="12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:U5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1</xdr:row>
                <xdr:rowOff>0</xdr:rowOff>
              </from>
              <to>
                <xdr:col>0</xdr:col>
                <xdr:colOff>800100</xdr:colOff>
                <xdr:row>2</xdr:row>
                <xdr:rowOff>85725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28C9C5-2D7E-4790-8810-11CAF33447EC}">
          <x14:formula1>
            <xm:f>'Auswahl Listen'!$AH$2:$AH$15</xm:f>
          </x14:formula1>
          <xm:sqref>V3:V5</xm:sqref>
        </x14:dataValidation>
        <x14:dataValidation type="list" allowBlank="1" showInputMessage="1" showErrorMessage="1" xr:uid="{2794A249-3D56-44F3-BA92-18A27C5E4D87}">
          <x14:formula1>
            <xm:f>'Auswahl Listen'!$M$2:$M$6</xm:f>
          </x14:formula1>
          <xm:sqref>Z3:Z5</xm:sqref>
        </x14:dataValidation>
        <x14:dataValidation type="list" allowBlank="1" showInputMessage="1" showErrorMessage="1" xr:uid="{952A38EB-88C8-423C-8C87-27C6F3B0531E}">
          <x14:formula1>
            <xm:f>'Auswahl Listen'!$AI$2:$AI$102</xm:f>
          </x14:formula1>
          <xm:sqref>W3:W5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3"/>
  <sheetViews>
    <sheetView workbookViewId="0">
      <selection activeCell="C3" sqref="C3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2" customFormat="1" x14ac:dyDescent="0.25">
      <c r="A1" s="22" t="s">
        <v>7</v>
      </c>
      <c r="B1" s="22" t="s">
        <v>8</v>
      </c>
      <c r="C1" s="22" t="s">
        <v>116</v>
      </c>
      <c r="D1" s="28" t="s">
        <v>117</v>
      </c>
      <c r="E1" s="22" t="s">
        <v>491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1" t="str">
        <f>IF(Ruk.Table[[#This Row],[WERT]]&gt;77,"Ausreißer","i.O.")</f>
        <v>i.O.</v>
      </c>
    </row>
    <row r="3" spans="1:5" x14ac:dyDescent="0.25">
      <c r="A3" t="str">
        <f>"A"&amp;ROW()-1</f>
        <v>A2</v>
      </c>
      <c r="B3">
        <f>ROW()-1</f>
        <v>2</v>
      </c>
      <c r="C3" t="s">
        <v>309</v>
      </c>
      <c r="D3" s="3">
        <v>66</v>
      </c>
      <c r="E3" s="21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J5" sqref="J5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2" customFormat="1" x14ac:dyDescent="0.25">
      <c r="A1" s="22" t="s">
        <v>7</v>
      </c>
      <c r="B1" s="22" t="s">
        <v>8</v>
      </c>
      <c r="C1" s="22" t="s">
        <v>118</v>
      </c>
      <c r="D1" s="22" t="s">
        <v>119</v>
      </c>
      <c r="E1" s="22" t="s">
        <v>120</v>
      </c>
      <c r="F1" s="29" t="s">
        <v>121</v>
      </c>
      <c r="G1" s="7" t="s">
        <v>185</v>
      </c>
      <c r="H1" s="1" t="s">
        <v>186</v>
      </c>
      <c r="I1" s="1" t="s">
        <v>187</v>
      </c>
      <c r="J1" s="22" t="s">
        <v>188</v>
      </c>
      <c r="K1" s="22" t="s">
        <v>492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1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O1" activePane="topRight" state="frozen"/>
      <selection activeCell="F37" sqref="F37"/>
      <selection pane="topRight" activeCell="P8" sqref="P8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0" bestFit="1" customWidth="1"/>
    <col min="5" max="5" width="13.28515625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19" customFormat="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6" customFormat="1" x14ac:dyDescent="0.25">
      <c r="A2" s="23" t="s">
        <v>7</v>
      </c>
      <c r="B2" s="23" t="s">
        <v>457</v>
      </c>
      <c r="C2" s="23" t="s">
        <v>8</v>
      </c>
      <c r="D2" s="35" t="s">
        <v>9</v>
      </c>
      <c r="E2" s="24" t="s">
        <v>10</v>
      </c>
      <c r="F2" s="24" t="s">
        <v>11</v>
      </c>
      <c r="G2" s="24" t="s">
        <v>29</v>
      </c>
      <c r="H2" s="24" t="s">
        <v>30</v>
      </c>
      <c r="I2" s="24" t="s">
        <v>31</v>
      </c>
      <c r="J2" s="24" t="s">
        <v>32</v>
      </c>
      <c r="K2" s="24" t="s">
        <v>33</v>
      </c>
      <c r="L2" s="24" t="s">
        <v>34</v>
      </c>
      <c r="M2" s="24" t="s">
        <v>35</v>
      </c>
      <c r="N2" s="24" t="s">
        <v>36</v>
      </c>
      <c r="O2" s="24" t="s">
        <v>37</v>
      </c>
      <c r="P2" s="24" t="s">
        <v>38</v>
      </c>
      <c r="Q2" s="24" t="s">
        <v>39</v>
      </c>
      <c r="R2" s="24" t="s">
        <v>40</v>
      </c>
      <c r="S2" s="24" t="s">
        <v>41</v>
      </c>
      <c r="T2" s="24" t="s">
        <v>42</v>
      </c>
      <c r="U2" s="24" t="s">
        <v>43</v>
      </c>
      <c r="V2" s="24" t="s">
        <v>44</v>
      </c>
      <c r="W2" s="24" t="s">
        <v>45</v>
      </c>
      <c r="X2" s="25" t="s">
        <v>313</v>
      </c>
      <c r="Y2" s="25" t="s">
        <v>314</v>
      </c>
      <c r="Z2" s="25" t="s">
        <v>315</v>
      </c>
      <c r="AA2" s="25" t="s">
        <v>316</v>
      </c>
      <c r="AB2" s="25" t="s">
        <v>317</v>
      </c>
      <c r="AC2" s="25" t="s">
        <v>318</v>
      </c>
      <c r="AD2" s="25" t="s">
        <v>319</v>
      </c>
      <c r="AE2" s="25" t="s">
        <v>320</v>
      </c>
      <c r="AF2" s="25" t="s">
        <v>321</v>
      </c>
      <c r="AG2" s="25" t="s">
        <v>322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0" t="s">
        <v>474</v>
      </c>
      <c r="E3" t="s">
        <v>337</v>
      </c>
      <c r="F3" t="s">
        <v>335</v>
      </c>
      <c r="G3" t="s">
        <v>336</v>
      </c>
      <c r="H3" t="s">
        <v>338</v>
      </c>
      <c r="I3" s="8" t="s">
        <v>339</v>
      </c>
      <c r="J3" t="s">
        <v>243</v>
      </c>
      <c r="K3" t="s">
        <v>226</v>
      </c>
      <c r="L3" t="s">
        <v>227</v>
      </c>
      <c r="M3" t="s">
        <v>228</v>
      </c>
      <c r="N3" s="9" t="s">
        <v>229</v>
      </c>
      <c r="O3" s="8" t="s">
        <v>340</v>
      </c>
      <c r="P3" t="s">
        <v>230</v>
      </c>
      <c r="Q3" t="s">
        <v>230</v>
      </c>
      <c r="R3" t="s">
        <v>230</v>
      </c>
      <c r="S3">
        <v>10</v>
      </c>
      <c r="T3" t="s">
        <v>341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456</v>
      </c>
    </row>
    <row r="4" spans="1:33" x14ac:dyDescent="0.25">
      <c r="A4" t="s">
        <v>470</v>
      </c>
      <c r="B4" t="str">
        <f>"EXPLORATION"</f>
        <v>EXPLORATION</v>
      </c>
      <c r="C4">
        <v>2</v>
      </c>
      <c r="D4" s="20" t="s">
        <v>475</v>
      </c>
      <c r="I4" s="8"/>
      <c r="N4" s="9" t="s">
        <v>479</v>
      </c>
      <c r="O4" s="8"/>
    </row>
    <row r="5" spans="1:33" x14ac:dyDescent="0.25">
      <c r="A5" t="s">
        <v>517</v>
      </c>
      <c r="B5" t="str">
        <f>"EXPLORATION"</f>
        <v>EXPLORATION</v>
      </c>
      <c r="C5">
        <v>12</v>
      </c>
      <c r="D5" s="20">
        <v>44197</v>
      </c>
      <c r="I5" s="8"/>
      <c r="N5" s="9"/>
      <c r="O5" s="8"/>
    </row>
    <row r="6" spans="1:33" x14ac:dyDescent="0.25">
      <c r="I6" s="8"/>
      <c r="O6" s="8"/>
    </row>
    <row r="8" spans="1:33" x14ac:dyDescent="0.25">
      <c r="I8" s="8"/>
      <c r="O8" s="8"/>
    </row>
    <row r="9" spans="1:33" x14ac:dyDescent="0.25">
      <c r="I9" s="8"/>
      <c r="O9" s="8"/>
    </row>
    <row r="10" spans="1:33" x14ac:dyDescent="0.25">
      <c r="I10" s="8"/>
      <c r="O10" s="8"/>
    </row>
    <row r="11" spans="1:33" x14ac:dyDescent="0.25">
      <c r="I11" s="8"/>
      <c r="O11" s="8"/>
    </row>
    <row r="12" spans="1:33" x14ac:dyDescent="0.25">
      <c r="I12" s="8"/>
      <c r="O12" s="8"/>
    </row>
    <row r="13" spans="1:33" x14ac:dyDescent="0.25">
      <c r="I13" s="8"/>
      <c r="O13" s="8"/>
    </row>
    <row r="15" spans="1:33" x14ac:dyDescent="0.25">
      <c r="I15" s="8"/>
      <c r="O15" s="8"/>
    </row>
    <row r="16" spans="1:33" x14ac:dyDescent="0.25">
      <c r="I16" s="8"/>
      <c r="O16" s="8"/>
    </row>
    <row r="17" spans="9:15" x14ac:dyDescent="0.25">
      <c r="I17" s="8"/>
      <c r="O17" s="8"/>
    </row>
    <row r="18" spans="9:15" x14ac:dyDescent="0.25">
      <c r="I18" s="8"/>
      <c r="O18" s="8"/>
    </row>
    <row r="19" spans="9:15" x14ac:dyDescent="0.25">
      <c r="I19" s="8"/>
      <c r="O19" s="8"/>
    </row>
    <row r="20" spans="9:15" x14ac:dyDescent="0.25">
      <c r="I20" s="8"/>
      <c r="O20" s="8"/>
    </row>
    <row r="21" spans="9:15" x14ac:dyDescent="0.25">
      <c r="I21" s="8"/>
      <c r="O21" s="8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H12"/>
  <sheetViews>
    <sheetView zoomScale="130" zoomScaleNormal="130" workbookViewId="0">
      <pane xSplit="10" topLeftCell="L1" activePane="topRight" state="frozen"/>
      <selection pane="topRight" activeCell="P3" sqref="P3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customWidth="1"/>
    <col min="7" max="7" width="12" bestFit="1" customWidth="1"/>
    <col min="8" max="8" width="14.7109375" bestFit="1" customWidth="1"/>
    <col min="9" max="10" width="14.7109375" customWidth="1"/>
    <col min="11" max="11" width="13.7109375" bestFit="1" customWidth="1"/>
    <col min="12" max="12" width="16" bestFit="1" customWidth="1"/>
    <col min="13" max="13" width="8.42578125" bestFit="1" customWidth="1"/>
    <col min="14" max="14" width="14.28515625" bestFit="1" customWidth="1"/>
    <col min="15" max="15" width="13.5703125" bestFit="1" customWidth="1"/>
    <col min="16" max="17" width="13.5703125" customWidth="1"/>
    <col min="18" max="18" width="7.85546875" bestFit="1" customWidth="1"/>
    <col min="19" max="19" width="32.42578125" bestFit="1" customWidth="1"/>
    <col min="20" max="20" width="8.85546875" bestFit="1" customWidth="1"/>
    <col min="21" max="21" width="13" bestFit="1" customWidth="1"/>
    <col min="22" max="22" width="14.28515625" bestFit="1" customWidth="1"/>
    <col min="23" max="23" width="16" bestFit="1" customWidth="1"/>
    <col min="24" max="24" width="17.7109375" bestFit="1" customWidth="1"/>
    <col min="25" max="25" width="19.28515625" bestFit="1" customWidth="1"/>
    <col min="26" max="26" width="8.7109375" bestFit="1" customWidth="1"/>
    <col min="27" max="27" width="13.85546875" bestFit="1" customWidth="1"/>
    <col min="28" max="28" width="15.140625" bestFit="1" customWidth="1"/>
    <col min="29" max="29" width="10.7109375" bestFit="1" customWidth="1"/>
    <col min="30" max="30" width="29.5703125" bestFit="1" customWidth="1"/>
    <col min="31" max="31" width="19.28515625" bestFit="1" customWidth="1"/>
    <col min="32" max="32" width="32.7109375" bestFit="1" customWidth="1"/>
    <col min="33" max="33" width="28.140625" bestFit="1" customWidth="1"/>
    <col min="34" max="34" width="20.7109375" bestFit="1" customWidth="1"/>
  </cols>
  <sheetData>
    <row r="1" spans="1:34" ht="30" customHeigh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</row>
    <row r="2" spans="1:34" s="22" customFormat="1" x14ac:dyDescent="0.25">
      <c r="A2" s="27" t="s">
        <v>7</v>
      </c>
      <c r="B2" s="27" t="s">
        <v>13</v>
      </c>
      <c r="C2" s="27" t="s">
        <v>19</v>
      </c>
      <c r="D2" s="27" t="s">
        <v>24</v>
      </c>
      <c r="E2" s="27" t="s">
        <v>23</v>
      </c>
      <c r="F2" s="27" t="s">
        <v>457</v>
      </c>
      <c r="G2" s="27" t="s">
        <v>8</v>
      </c>
      <c r="H2" s="27" t="s">
        <v>75</v>
      </c>
      <c r="I2" s="27" t="s">
        <v>116</v>
      </c>
      <c r="J2" s="27" t="s">
        <v>76</v>
      </c>
      <c r="K2" s="27" t="s">
        <v>77</v>
      </c>
      <c r="L2" s="27" t="s">
        <v>78</v>
      </c>
      <c r="M2" s="27" t="s">
        <v>79</v>
      </c>
      <c r="N2" s="27" t="s">
        <v>80</v>
      </c>
      <c r="O2" s="27" t="s">
        <v>81</v>
      </c>
      <c r="P2" s="27" t="s">
        <v>82</v>
      </c>
      <c r="Q2" s="27" t="s">
        <v>84</v>
      </c>
      <c r="R2" s="27" t="s">
        <v>85</v>
      </c>
      <c r="S2" s="27" t="s">
        <v>86</v>
      </c>
      <c r="T2" s="27" t="s">
        <v>87</v>
      </c>
      <c r="U2" s="27" t="s">
        <v>88</v>
      </c>
      <c r="V2" s="27" t="s">
        <v>89</v>
      </c>
      <c r="W2" s="27" t="s">
        <v>90</v>
      </c>
      <c r="X2" s="27" t="s">
        <v>91</v>
      </c>
      <c r="Y2" s="27" t="s">
        <v>92</v>
      </c>
      <c r="Z2" s="27" t="s">
        <v>93</v>
      </c>
      <c r="AA2" s="27" t="s">
        <v>47</v>
      </c>
      <c r="AB2" s="27" t="s">
        <v>94</v>
      </c>
      <c r="AC2" s="27" t="s">
        <v>95</v>
      </c>
      <c r="AD2" s="27" t="s">
        <v>96</v>
      </c>
      <c r="AE2" s="27" t="s">
        <v>97</v>
      </c>
      <c r="AF2" s="27" t="s">
        <v>98</v>
      </c>
    </row>
    <row r="3" spans="1:34" x14ac:dyDescent="0.25">
      <c r="A3" t="str">
        <f>"SE"&amp;ROW()-1</f>
        <v>SE2</v>
      </c>
      <c r="B3" t="s">
        <v>0</v>
      </c>
      <c r="C3" t="s">
        <v>342</v>
      </c>
      <c r="D3" t="s">
        <v>467</v>
      </c>
      <c r="E3" t="s">
        <v>468</v>
      </c>
      <c r="F3" t="str">
        <f t="shared" ref="F3:F12" si="0">"LAYER"</f>
        <v>LAYER</v>
      </c>
      <c r="G3">
        <v>1</v>
      </c>
      <c r="H3" t="s">
        <v>190</v>
      </c>
      <c r="I3" t="s">
        <v>693</v>
      </c>
      <c r="J3" t="s">
        <v>189</v>
      </c>
      <c r="K3" t="s">
        <v>310</v>
      </c>
      <c r="M3">
        <v>12</v>
      </c>
      <c r="N3">
        <f ca="1">Erkundungsstelle.Sample.Table[[#This Row],[TIEFE_ENDE]]-Erkundungsstelle.Sample.Table[[#This Row],[DICKE]]</f>
        <v>0</v>
      </c>
      <c r="O3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12</v>
      </c>
      <c r="P3" t="s">
        <v>191</v>
      </c>
      <c r="Q3" t="s">
        <v>216</v>
      </c>
      <c r="R3" t="s">
        <v>448</v>
      </c>
      <c r="S3" t="s">
        <v>217</v>
      </c>
      <c r="T3" t="s">
        <v>218</v>
      </c>
      <c r="U3" t="s">
        <v>219</v>
      </c>
      <c r="V3">
        <v>1</v>
      </c>
      <c r="W3">
        <v>1</v>
      </c>
      <c r="Z3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AA3" t="str">
        <f>IF(Erkundungsstelle.Sample.Table[[#This Row],[PECH]]="JA","auffällig",IF(Erkundungsstelle.Sample.Table[[#This Row],[ART]]&lt;&gt;"","neutral",""))</f>
        <v>neutral</v>
      </c>
      <c r="AB3">
        <v>1</v>
      </c>
      <c r="AC3" t="s">
        <v>449</v>
      </c>
      <c r="AD3" t="s">
        <v>449</v>
      </c>
      <c r="AE3" t="s">
        <v>220</v>
      </c>
      <c r="AF3" t="s">
        <v>449</v>
      </c>
    </row>
    <row r="4" spans="1:34" x14ac:dyDescent="0.25">
      <c r="A4" t="str">
        <f t="shared" ref="A4" si="1">"SE"&amp;ROW()-1</f>
        <v>SE3</v>
      </c>
      <c r="B4" t="s">
        <v>0</v>
      </c>
      <c r="C4" t="s">
        <v>3</v>
      </c>
      <c r="D4" t="s">
        <v>467</v>
      </c>
      <c r="F4" t="str">
        <f t="shared" si="0"/>
        <v>LAYER</v>
      </c>
      <c r="G4">
        <v>2</v>
      </c>
      <c r="H4" t="s">
        <v>190</v>
      </c>
      <c r="I4" t="s">
        <v>693</v>
      </c>
      <c r="J4" t="s">
        <v>189</v>
      </c>
      <c r="K4" t="s">
        <v>310</v>
      </c>
      <c r="M4">
        <v>3</v>
      </c>
      <c r="N4">
        <f ca="1">Erkundungsstelle.Sample.Table[[#This Row],[TIEFE_ENDE]]-Erkundungsstelle.Sample.Table[[#This Row],[DICKE]]</f>
        <v>12</v>
      </c>
      <c r="O4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15</v>
      </c>
      <c r="P4" t="s">
        <v>191</v>
      </c>
      <c r="Q4" t="s">
        <v>233</v>
      </c>
      <c r="R4" t="s">
        <v>441</v>
      </c>
      <c r="S4" t="s">
        <v>234</v>
      </c>
      <c r="T4" t="s">
        <v>235</v>
      </c>
      <c r="U4" t="s">
        <v>236</v>
      </c>
      <c r="V4">
        <v>2</v>
      </c>
      <c r="W4">
        <v>2</v>
      </c>
      <c r="Z4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AA4" t="str">
        <f>IF(Erkundungsstelle.Sample.Table[[#This Row],[PECH]]="JA","auffällig",IF(Erkundungsstelle.Sample.Table[[#This Row],[ART]]&lt;&gt;"","neutral",""))</f>
        <v>neutral</v>
      </c>
      <c r="AB4">
        <v>2</v>
      </c>
      <c r="AC4" t="s">
        <v>450</v>
      </c>
      <c r="AD4" t="s">
        <v>450</v>
      </c>
      <c r="AE4" t="s">
        <v>191</v>
      </c>
      <c r="AF4" t="s">
        <v>450</v>
      </c>
    </row>
    <row r="5" spans="1:34" x14ac:dyDescent="0.25">
      <c r="A5" t="str">
        <f t="shared" ref="A5:A12" si="2">"SE"&amp;ROW()-1</f>
        <v>SE4</v>
      </c>
      <c r="B5" t="s">
        <v>0</v>
      </c>
      <c r="C5" t="s">
        <v>3</v>
      </c>
      <c r="D5" t="s">
        <v>467</v>
      </c>
      <c r="E5" t="s">
        <v>468</v>
      </c>
      <c r="F5" t="str">
        <f t="shared" si="0"/>
        <v>LAYER</v>
      </c>
      <c r="G5">
        <v>3</v>
      </c>
      <c r="H5" t="s">
        <v>190</v>
      </c>
      <c r="I5" t="str">
        <f>IF(Erkundungsstelle.Sample.Table[[#This Row],[AUFSCHLUSS]]="GOB","EP","MP")</f>
        <v>EP</v>
      </c>
      <c r="M5">
        <v>2</v>
      </c>
      <c r="N5">
        <f ca="1">Erkundungsstelle.Sample.Table[[#This Row],[TIEFE_ENDE]]-Erkundungsstelle.Sample.Table[[#This Row],[DICKE]]</f>
        <v>15</v>
      </c>
      <c r="O5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17</v>
      </c>
      <c r="P5" t="s">
        <v>191</v>
      </c>
      <c r="S5" t="s">
        <v>234</v>
      </c>
      <c r="Z5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B5">
        <v>3</v>
      </c>
    </row>
    <row r="6" spans="1:34" x14ac:dyDescent="0.25">
      <c r="A6" t="str">
        <f t="shared" si="2"/>
        <v>SE5</v>
      </c>
      <c r="B6" t="s">
        <v>0</v>
      </c>
      <c r="C6" t="s">
        <v>342</v>
      </c>
      <c r="D6" t="s">
        <v>467</v>
      </c>
      <c r="E6" t="s">
        <v>468</v>
      </c>
      <c r="F6" t="str">
        <f t="shared" si="0"/>
        <v>LAYER</v>
      </c>
      <c r="G6">
        <v>4</v>
      </c>
      <c r="H6" t="s">
        <v>231</v>
      </c>
      <c r="I6" t="str">
        <f>IF(Erkundungsstelle.Sample.Table[[#This Row],[AUFSCHLUSS]]="GOB","EP","MP")</f>
        <v>MP</v>
      </c>
      <c r="M6">
        <v>6</v>
      </c>
      <c r="N6">
        <f ca="1">Erkundungsstelle.Sample.Table[[#This Row],[TIEFE_ENDE]]-Erkundungsstelle.Sample.Table[[#This Row],[DICKE]]</f>
        <v>17</v>
      </c>
      <c r="O6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23</v>
      </c>
      <c r="P6" t="s">
        <v>220</v>
      </c>
      <c r="Z6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6" t="str">
        <f>IF(Erkundungsstelle.Sample.Table[[#This Row],[PECH]]="JA","auffällig",IF(Erkundungsstelle.Sample.Table[[#This Row],[ART]]&lt;&gt;"","neutral",""))</f>
        <v>auffällig</v>
      </c>
    </row>
    <row r="7" spans="1:34" x14ac:dyDescent="0.25">
      <c r="A7" t="str">
        <f t="shared" si="2"/>
        <v>SE6</v>
      </c>
      <c r="B7" t="s">
        <v>470</v>
      </c>
      <c r="F7" t="str">
        <f t="shared" si="0"/>
        <v>LAYER</v>
      </c>
      <c r="G7">
        <v>1</v>
      </c>
      <c r="H7" t="s">
        <v>248</v>
      </c>
      <c r="I7" t="str">
        <f>IF(Erkundungsstelle.Sample.Table[[#This Row],[AUFSCHLUSS]]="GOB","EP","MP")</f>
        <v>MP</v>
      </c>
      <c r="M7">
        <v>8</v>
      </c>
      <c r="N7">
        <f ca="1">Erkundungsstelle.Sample.Table[[#This Row],[TIEFE_ENDE]]-Erkundungsstelle.Sample.Table[[#This Row],[DICKE]]</f>
        <v>0</v>
      </c>
      <c r="O7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8</v>
      </c>
      <c r="P7" t="s">
        <v>220</v>
      </c>
      <c r="Z7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Boden</v>
      </c>
      <c r="AA7" t="str">
        <f>IF(Erkundungsstelle.Sample.Table[[#This Row],[PECH]]="JA","auffällig",IF(Erkundungsstelle.Sample.Table[[#This Row],[ART]]&lt;&gt;"","neutral",""))</f>
        <v>auffällig</v>
      </c>
    </row>
    <row r="8" spans="1:34" x14ac:dyDescent="0.25">
      <c r="A8" t="str">
        <f t="shared" si="2"/>
        <v>SE7</v>
      </c>
      <c r="B8" t="s">
        <v>470</v>
      </c>
      <c r="F8" t="str">
        <f t="shared" si="0"/>
        <v>LAYER</v>
      </c>
      <c r="G8">
        <v>2</v>
      </c>
      <c r="H8" t="s">
        <v>190</v>
      </c>
      <c r="I8" t="str">
        <f>IF(Erkundungsstelle.Sample.Table[[#This Row],[AUFSCHLUSS]]="GOB","EP","MP")</f>
        <v>EP</v>
      </c>
      <c r="M8">
        <v>56</v>
      </c>
      <c r="N8">
        <f ca="1">Erkundungsstelle.Sample.Table[[#This Row],[TIEFE_ENDE]]-Erkundungsstelle.Sample.Table[[#This Row],[DICKE]]</f>
        <v>8</v>
      </c>
      <c r="O8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64</v>
      </c>
      <c r="Z8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8" t="str">
        <f>IF(Erkundungsstelle.Sample.Table[[#This Row],[PECH]]="JA","auffällig",IF(Erkundungsstelle.Sample.Table[[#This Row],[ART]]&lt;&gt;"","neutral",""))</f>
        <v/>
      </c>
    </row>
    <row r="9" spans="1:34" x14ac:dyDescent="0.25">
      <c r="A9" t="str">
        <f t="shared" si="2"/>
        <v>SE8</v>
      </c>
      <c r="B9" t="s">
        <v>470</v>
      </c>
      <c r="F9" t="str">
        <f t="shared" si="0"/>
        <v>LAYER</v>
      </c>
      <c r="G9">
        <v>3</v>
      </c>
      <c r="H9" t="s">
        <v>190</v>
      </c>
      <c r="I9" t="str">
        <f>IF(Erkundungsstelle.Sample.Table[[#This Row],[AUFSCHLUSS]]="GOB","EP","MP")</f>
        <v>EP</v>
      </c>
      <c r="M9">
        <v>5</v>
      </c>
      <c r="N9">
        <f ca="1">Erkundungsstelle.Sample.Table[[#This Row],[TIEFE_ENDE]]-Erkundungsstelle.Sample.Table[[#This Row],[DICKE]]</f>
        <v>64</v>
      </c>
      <c r="O9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69</v>
      </c>
      <c r="Z9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9" t="str">
        <f>IF(Erkundungsstelle.Sample.Table[[#This Row],[PECH]]="JA","auffällig",IF(Erkundungsstelle.Sample.Table[[#This Row],[ART]]&lt;&gt;"","neutral",""))</f>
        <v/>
      </c>
    </row>
    <row r="10" spans="1:34" x14ac:dyDescent="0.25">
      <c r="A10" t="str">
        <f t="shared" si="2"/>
        <v>SE9</v>
      </c>
      <c r="B10" t="s">
        <v>517</v>
      </c>
      <c r="F10" t="str">
        <f t="shared" si="0"/>
        <v>LAYER</v>
      </c>
      <c r="G10">
        <v>2</v>
      </c>
      <c r="H10" t="s">
        <v>231</v>
      </c>
      <c r="I10" t="str">
        <f>IF(Erkundungsstelle.Sample.Table[[#This Row],[AUFSCHLUSS]]="GOB","EP","MP")</f>
        <v>MP</v>
      </c>
      <c r="M10">
        <v>2</v>
      </c>
      <c r="N10">
        <f ca="1">Erkundungsstelle.Sample.Table[[#This Row],[TIEFE_ENDE]]-Erkundungsstelle.Sample.Table[[#This Row],[DICKE]]</f>
        <v>0</v>
      </c>
      <c r="O10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2</v>
      </c>
      <c r="Z10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10" t="str">
        <f>IF(Erkundungsstelle.Sample.Table[[#This Row],[PECH]]="JA","auffällig",IF(Erkundungsstelle.Sample.Table[[#This Row],[ART]]&lt;&gt;"","neutral",""))</f>
        <v/>
      </c>
    </row>
    <row r="11" spans="1:34" x14ac:dyDescent="0.25">
      <c r="A11" t="str">
        <f t="shared" si="2"/>
        <v>SE10</v>
      </c>
      <c r="B11" t="s">
        <v>517</v>
      </c>
      <c r="F11" t="str">
        <f t="shared" si="0"/>
        <v>LAYER</v>
      </c>
      <c r="G11">
        <v>3</v>
      </c>
      <c r="H11" t="s">
        <v>190</v>
      </c>
      <c r="I11" t="str">
        <f>IF(Erkundungsstelle.Sample.Table[[#This Row],[AUFSCHLUSS]]="GOB","EP","MP")</f>
        <v>EP</v>
      </c>
      <c r="M11">
        <v>3</v>
      </c>
      <c r="N11">
        <f ca="1">Erkundungsstelle.Sample.Table[[#This Row],[TIEFE_ENDE]]-Erkundungsstelle.Sample.Table[[#This Row],[DICKE]]</f>
        <v>2</v>
      </c>
      <c r="O11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5</v>
      </c>
      <c r="Z11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11" t="str">
        <f>IF(Erkundungsstelle.Sample.Table[[#This Row],[PECH]]="JA","auffällig",IF(Erkundungsstelle.Sample.Table[[#This Row],[ART]]&lt;&gt;"","neutral",""))</f>
        <v/>
      </c>
    </row>
    <row r="12" spans="1:34" x14ac:dyDescent="0.25">
      <c r="A12" t="str">
        <f t="shared" si="2"/>
        <v>SE11</v>
      </c>
      <c r="B12" t="s">
        <v>517</v>
      </c>
      <c r="F12" t="str">
        <f t="shared" si="0"/>
        <v>LAYER</v>
      </c>
      <c r="G12">
        <v>4</v>
      </c>
      <c r="H12" t="s">
        <v>190</v>
      </c>
      <c r="I12" t="str">
        <f>IF(Erkundungsstelle.Sample.Table[[#This Row],[AUFSCHLUSS]]="GOB","EP","MP")</f>
        <v>EP</v>
      </c>
      <c r="M12">
        <v>1</v>
      </c>
      <c r="N12">
        <f ca="1">Erkundungsstelle.Sample.Table[[#This Row],[TIEFE_ENDE]]-Erkundungsstelle.Sample.Table[[#This Row],[DICKE]]</f>
        <v>5</v>
      </c>
      <c r="O12">
        <f ca="1">IF(
AND(CELL("inhalt",INDIRECT(ADDRESS(ROW()-1,COLUMN(Erkundungsstelle.Sample.Table[[#This Row],[PROBE.ID]]))))=Erkundungsstelle.Sample.Table[[#This Row],[PROBE.ID]],Erkundungsstelle.Sample.Table[[#This Row],[DICKE]]&lt;&gt;""),
CELL("inhalt",INDIRECT(ADDRESS(ROW()-1,COLUMN(Erkundungsstelle.Sample.Table[[#This Row],[TIEFE_ENDE]]))))+Erkundungsstelle.Sample.Table[[#This Row],[DICKE]],Erkundungsstelle.Sample.Table[[#This Row],[DICKE]])</f>
        <v>6</v>
      </c>
      <c r="Z12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12" t="str">
        <f>IF(Erkundungsstelle.Sample.Table[[#This Row],[PECH]]="JA","auffällig",IF(Erkundungsstelle.Sample.Table[[#This Row],[ART]]&lt;&gt;"","neutral",""))</f>
        <v/>
      </c>
    </row>
  </sheetData>
  <mergeCells count="1">
    <mergeCell ref="B1:AH1"/>
  </mergeCells>
  <phoneticPr fontId="1" type="noConversion"/>
  <dataValidations count="21">
    <dataValidation type="list" allowBlank="1" showInputMessage="1" showErrorMessage="1" sqref="E3:E12" xr:uid="{606FD157-69C7-4181-BEEF-39619C01D709}">
      <formula1>LP_ID</formula1>
    </dataValidation>
    <dataValidation type="list" allowBlank="1" showInputMessage="1" showErrorMessage="1" sqref="B3:B12" xr:uid="{9137DDE7-64B6-4EC2-87C7-BBDDB0A58C79}">
      <formula1>ERK_ID</formula1>
    </dataValidation>
    <dataValidation type="list" allowBlank="1" showInputMessage="1" showErrorMessage="1" sqref="D3:D12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E3:AE12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Y3:Y12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U3:U12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T3:T12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S3:S12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Q3:Q12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P3:P12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12" xr:uid="{8DF64396-2A47-4FDF-BCFB-19DF6266431B}">
      <formula1>AUFSCHLUSS_AUSWAHL</formula1>
    </dataValidation>
    <dataValidation type="list" allowBlank="1" showInputMessage="1" showErrorMessage="1" sqref="C3:C12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Y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Q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S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T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U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E2" xr:uid="{58C7B0C8-6C26-465A-8E4F-92BB1DCE0826}"/>
    <dataValidation allowBlank="1" showInputMessage="1" showErrorMessage="1" errorTitle="Fehler!" error="Ungültige Eingabe." promptTitle="Pechnachweis" prompt="Wählen Sie aus der Liste aus." sqref="P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:I2" xr:uid="{396FDD5E-3FD9-43C5-AA12-5D986EE90021}"/>
    <dataValidation type="list" allowBlank="1" showInputMessage="1" showErrorMessage="1" errorTitle="Falscher Aufschluss!" error="Bitte wählen Sie einen Aufschluss aus der Liste." promptTitle="Probenart" prompt="Bitte wählen sie eine Probenart:_x000a_EP - Einzelprobe_x000a_SP - Sammelprobe_x000a_MP - Mischprobe_x000a_SoP" sqref="I3:I12" xr:uid="{B385B4D7-A6D0-4825-BAC1-800B7C4CA898}">
      <formula1>PROBENART_ERK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7"/>
  <sheetViews>
    <sheetView workbookViewId="0">
      <selection activeCell="H21" sqref="H21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0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1" t="s">
        <v>7</v>
      </c>
      <c r="B1" s="11" t="s">
        <v>457</v>
      </c>
      <c r="C1" s="11" t="s">
        <v>8</v>
      </c>
      <c r="D1" s="36" t="s">
        <v>9</v>
      </c>
      <c r="E1" s="12" t="s">
        <v>10</v>
      </c>
      <c r="F1" s="12" t="s">
        <v>11</v>
      </c>
      <c r="G1" s="12" t="s">
        <v>29</v>
      </c>
      <c r="H1" s="12" t="s">
        <v>30</v>
      </c>
      <c r="I1" s="12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0" t="s">
        <v>476</v>
      </c>
      <c r="E2" t="s">
        <v>345</v>
      </c>
      <c r="F2" t="s">
        <v>335</v>
      </c>
      <c r="G2" t="s">
        <v>346</v>
      </c>
      <c r="H2" t="s">
        <v>338</v>
      </c>
      <c r="I2" s="8" t="s">
        <v>339</v>
      </c>
    </row>
    <row r="3" spans="1:9" x14ac:dyDescent="0.25">
      <c r="I3" s="8"/>
    </row>
    <row r="4" spans="1:9" x14ac:dyDescent="0.25">
      <c r="I4" s="8"/>
    </row>
    <row r="5" spans="1:9" x14ac:dyDescent="0.25">
      <c r="I5" s="8"/>
    </row>
    <row r="6" spans="1:9" x14ac:dyDescent="0.25">
      <c r="I6" s="8"/>
    </row>
    <row r="7" spans="1:9" x14ac:dyDescent="0.25">
      <c r="I7" s="8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I3" sqref="I3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9" bestFit="1" customWidth="1"/>
    <col min="9" max="9" width="15" bestFit="1" customWidth="1"/>
    <col min="10" max="10" width="12.5703125" bestFit="1" customWidth="1"/>
    <col min="11" max="11" width="20.28515625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9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1" t="s">
        <v>7</v>
      </c>
      <c r="B1" s="11" t="s">
        <v>13</v>
      </c>
      <c r="C1" s="11" t="s">
        <v>19</v>
      </c>
      <c r="D1" s="11" t="s">
        <v>457</v>
      </c>
      <c r="E1" s="11" t="s">
        <v>8</v>
      </c>
      <c r="F1" s="11" t="s">
        <v>75</v>
      </c>
      <c r="G1" s="11" t="s">
        <v>76</v>
      </c>
      <c r="H1" s="13" t="s">
        <v>77</v>
      </c>
      <c r="I1" s="11" t="s">
        <v>93</v>
      </c>
      <c r="J1" s="11" t="s">
        <v>100</v>
      </c>
      <c r="K1" s="11" t="s">
        <v>101</v>
      </c>
      <c r="L1" s="11" t="s">
        <v>92</v>
      </c>
      <c r="M1" s="11" t="s">
        <v>85</v>
      </c>
      <c r="N1" s="11" t="s">
        <v>47</v>
      </c>
      <c r="O1" s="13" t="s">
        <v>78</v>
      </c>
      <c r="P1" s="11" t="s">
        <v>82</v>
      </c>
      <c r="Q1" s="11" t="s">
        <v>86</v>
      </c>
      <c r="R1" s="11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344</v>
      </c>
      <c r="H2" s="9" t="s">
        <v>343</v>
      </c>
      <c r="I2" t="s">
        <v>347</v>
      </c>
      <c r="J2">
        <v>450</v>
      </c>
      <c r="K2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9</v>
      </c>
      <c r="L2" t="s">
        <v>232</v>
      </c>
      <c r="M2" t="s">
        <v>348</v>
      </c>
      <c r="N2" t="s">
        <v>303</v>
      </c>
      <c r="Q2" t="s">
        <v>234</v>
      </c>
      <c r="R2" t="s">
        <v>349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342</v>
      </c>
      <c r="D3" t="str">
        <f>"PIECE"</f>
        <v>PIECE</v>
      </c>
      <c r="E3">
        <v>2</v>
      </c>
      <c r="F3" t="str">
        <f t="shared" si="0"/>
        <v>HAUFWERK</v>
      </c>
      <c r="G3" t="s">
        <v>442</v>
      </c>
      <c r="H3" s="9" t="s">
        <v>444</v>
      </c>
      <c r="I3" t="s">
        <v>442</v>
      </c>
      <c r="J3">
        <v>250</v>
      </c>
      <c r="K3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7</v>
      </c>
      <c r="L3" t="s">
        <v>215</v>
      </c>
      <c r="M3" t="s">
        <v>441</v>
      </c>
      <c r="N3" t="s">
        <v>445</v>
      </c>
      <c r="O3" s="9" t="s">
        <v>446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H23" sqref="H23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0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0" t="s">
        <v>7</v>
      </c>
      <c r="B1" s="10" t="s">
        <v>457</v>
      </c>
      <c r="C1" s="10" t="s">
        <v>8</v>
      </c>
      <c r="D1" s="37" t="s">
        <v>9</v>
      </c>
      <c r="E1" s="10" t="s">
        <v>12</v>
      </c>
      <c r="F1" s="10" t="s">
        <v>46</v>
      </c>
      <c r="G1" s="10" t="s">
        <v>47</v>
      </c>
      <c r="H1" s="10" t="s">
        <v>48</v>
      </c>
      <c r="I1" s="10" t="s">
        <v>299</v>
      </c>
      <c r="J1" s="10" t="s">
        <v>49</v>
      </c>
      <c r="K1" s="10" t="s">
        <v>50</v>
      </c>
      <c r="L1" s="10" t="s">
        <v>51</v>
      </c>
    </row>
    <row r="2" spans="1:12" x14ac:dyDescent="0.25">
      <c r="A2" t="s">
        <v>443</v>
      </c>
      <c r="B2" t="str">
        <f t="shared" ref="B2:B3" si="0">"BUILDING"</f>
        <v>BUILDING</v>
      </c>
      <c r="C2">
        <v>0</v>
      </c>
      <c r="D2" s="20">
        <v>44321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0">
        <v>44165</v>
      </c>
      <c r="E3" t="s">
        <v>352</v>
      </c>
      <c r="F3" t="s">
        <v>295</v>
      </c>
      <c r="H3" t="s">
        <v>353</v>
      </c>
      <c r="I3" t="s">
        <v>352</v>
      </c>
      <c r="J3" t="s">
        <v>354</v>
      </c>
      <c r="L3" t="s">
        <v>408</v>
      </c>
    </row>
  </sheetData>
  <phoneticPr fontId="1" type="noConversion"/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1:L1048576" xr:uid="{8CDCC3CC-8229-4BFD-8817-7A9A8D721E9D}">
      <formula1>ENTNAHME_AUSWAHL</formula1>
    </dataValidation>
    <dataValidation type="list" errorStyle="information" allowBlank="1" showInputMessage="1" sqref="E11:E1048576" xr:uid="{4C14746D-B56B-48AD-917E-4755FBBF5E40}">
      <formula1>GEBAUDE_BAUTEIL_AUSWAHL</formula1>
    </dataValidation>
    <dataValidation type="list" errorStyle="information" allowBlank="1" showInputMessage="1" sqref="F11:F1048576" xr:uid="{2E1B5F08-DC20-4E81-975A-BE01EA3F3CFD}">
      <formula1>GEBAUDE_CHARAKTER_AUSWAHL</formula1>
    </dataValidation>
    <dataValidation type="list" allowBlank="1" showInputMessage="1" sqref="G11:G1048576" xr:uid="{32892F23-B6B8-4D8B-9360-D2764F4A32C0}">
      <formula1>GEBAUDE_GERUCH_AUSWAHL</formula1>
    </dataValidation>
    <dataValidation type="list" allowBlank="1" showInputMessage="1" sqref="J11:J1048576" xr:uid="{915EE2A1-55E0-4768-84A3-03ABEC565053}">
      <formula1>ETAGEN_AUSWAHL</formula1>
    </dataValidation>
    <dataValidation type="list" allowBlank="1" showInputMessage="1" showErrorMessage="1" sqref="L3:L10" xr:uid="{D22D0BD7-C6FC-4E8C-8CED-77F2D9EDEF9D}">
      <formula1>ENTNAHME_AUSWAHL</formula1>
    </dataValidation>
    <dataValidation type="list" allowBlank="1" showInputMessage="1" showErrorMessage="1" sqref="J2:J10" xr:uid="{F2ACDFCA-3B40-46C0-BCC3-2474FBA54753}">
      <formula1>ETAGEN_AUSWAHL</formula1>
    </dataValidation>
    <dataValidation type="list" allowBlank="1" showInputMessage="1" showErrorMessage="1" sqref="G3:G10" xr:uid="{8CE29388-AFC8-42B9-ADB4-8138C8390CE8}">
      <formula1>GEBAUDE_GERUCH_AUSWAHL</formula1>
    </dataValidation>
    <dataValidation type="list" allowBlank="1" showInputMessage="1" showErrorMessage="1" sqref="F3:F10" xr:uid="{A74925F9-6FC3-4F89-A933-0CB5DF70FBB6}">
      <formula1>GEBAUDE_CHARAKTER_AUSWAHL</formula1>
    </dataValidation>
    <dataValidation type="list" allowBlank="1" showInputMessage="1" showErrorMessage="1" sqref="E3:E10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K9" sqref="K9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6" t="s">
        <v>7</v>
      </c>
      <c r="B1" s="14" t="s">
        <v>13</v>
      </c>
      <c r="C1" s="15" t="s">
        <v>19</v>
      </c>
      <c r="D1" s="16" t="s">
        <v>457</v>
      </c>
      <c r="E1" s="16" t="s">
        <v>8</v>
      </c>
      <c r="F1" s="16" t="s">
        <v>75</v>
      </c>
      <c r="G1" s="16" t="s">
        <v>99</v>
      </c>
      <c r="H1" s="16" t="s">
        <v>85</v>
      </c>
      <c r="I1" s="16" t="s">
        <v>79</v>
      </c>
      <c r="J1" s="16" t="s">
        <v>80</v>
      </c>
      <c r="K1" s="16" t="s">
        <v>81</v>
      </c>
      <c r="L1" s="16" t="s">
        <v>51</v>
      </c>
      <c r="M1" s="16" t="s">
        <v>432</v>
      </c>
      <c r="N1" s="16" t="s">
        <v>102</v>
      </c>
      <c r="O1" s="17" t="s">
        <v>103</v>
      </c>
      <c r="P1" s="15" t="s">
        <v>301</v>
      </c>
    </row>
    <row r="2" spans="1:16" x14ac:dyDescent="0.25">
      <c r="A2" t="str">
        <f t="shared" ref="A2:A3" si="0">"SB"&amp;ROW()-1</f>
        <v>SB1</v>
      </c>
      <c r="B2" t="s">
        <v>443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342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J101"/>
  <sheetViews>
    <sheetView topLeftCell="Y2" workbookViewId="0">
      <selection activeCell="AJ2" sqref="AJ2"/>
    </sheetView>
  </sheetViews>
  <sheetFormatPr baseColWidth="10" defaultColWidth="11.42578125" defaultRowHeight="15" x14ac:dyDescent="0.25"/>
  <cols>
    <col min="1" max="1" width="23" customWidth="1"/>
    <col min="2" max="2" width="24.140625" customWidth="1"/>
    <col min="3" max="3" width="27.28515625" customWidth="1"/>
    <col min="4" max="4" width="21.28515625" customWidth="1"/>
    <col min="5" max="5" width="22.5703125" customWidth="1"/>
    <col min="6" max="6" width="24.140625" customWidth="1"/>
    <col min="7" max="7" width="35.85546875" customWidth="1"/>
    <col min="8" max="8" width="16.5703125" customWidth="1"/>
    <col min="9" max="9" width="19.42578125" customWidth="1"/>
    <col min="10" max="10" width="19.140625" customWidth="1"/>
    <col min="11" max="11" width="38.85546875" customWidth="1"/>
    <col min="12" max="12" width="20.28515625" customWidth="1"/>
    <col min="13" max="13" width="15.7109375" customWidth="1"/>
    <col min="14" max="14" width="30.7109375" customWidth="1"/>
    <col min="15" max="15" width="16.7109375" bestFit="1" customWidth="1"/>
    <col min="16" max="16" width="17.42578125" customWidth="1"/>
    <col min="17" max="17" width="22.42578125" customWidth="1"/>
    <col min="18" max="18" width="23.42578125" customWidth="1"/>
    <col min="19" max="19" width="29.85546875" customWidth="1"/>
    <col min="20" max="20" width="18" customWidth="1"/>
    <col min="21" max="21" width="25.28515625" style="9" customWidth="1"/>
    <col min="22" max="22" width="14.42578125" customWidth="1"/>
    <col min="23" max="23" width="141" bestFit="1" customWidth="1"/>
    <col min="24" max="24" width="18.5703125" customWidth="1"/>
    <col min="25" max="25" width="20" customWidth="1"/>
    <col min="26" max="26" width="23.140625" customWidth="1"/>
    <col min="27" max="27" width="20.140625" customWidth="1"/>
    <col min="28" max="28" width="19.85546875" customWidth="1"/>
    <col min="29" max="29" width="23" customWidth="1"/>
    <col min="30" max="30" width="24.28515625" style="9" customWidth="1"/>
    <col min="31" max="31" width="16.7109375" customWidth="1"/>
    <col min="32" max="32" width="20.140625" customWidth="1"/>
    <col min="33" max="34" width="17.28515625" customWidth="1"/>
    <col min="35" max="35" width="21.85546875" customWidth="1"/>
    <col min="36" max="36" width="26.140625" customWidth="1"/>
  </cols>
  <sheetData>
    <row r="1" spans="1:36" s="50" customFormat="1" x14ac:dyDescent="0.25">
      <c r="A1" s="50" t="s">
        <v>192</v>
      </c>
      <c r="B1" s="50" t="s">
        <v>193</v>
      </c>
      <c r="C1" s="50" t="s">
        <v>194</v>
      </c>
      <c r="D1" s="50" t="s">
        <v>195</v>
      </c>
      <c r="E1" s="50" t="s">
        <v>196</v>
      </c>
      <c r="F1" s="50" t="s">
        <v>197</v>
      </c>
      <c r="G1" s="50" t="s">
        <v>198</v>
      </c>
      <c r="H1" s="50" t="s">
        <v>199</v>
      </c>
      <c r="I1" s="50" t="s">
        <v>200</v>
      </c>
      <c r="J1" s="50" t="s">
        <v>201</v>
      </c>
      <c r="K1" s="50" t="s">
        <v>202</v>
      </c>
      <c r="L1" s="50" t="s">
        <v>203</v>
      </c>
      <c r="M1" s="50" t="s">
        <v>204</v>
      </c>
      <c r="N1" s="50" t="s">
        <v>205</v>
      </c>
      <c r="O1" s="50" t="s">
        <v>206</v>
      </c>
      <c r="P1" s="50" t="s">
        <v>207</v>
      </c>
      <c r="Q1" s="50" t="s">
        <v>208</v>
      </c>
      <c r="R1" s="50" t="s">
        <v>209</v>
      </c>
      <c r="S1" s="50" t="s">
        <v>210</v>
      </c>
      <c r="T1" s="50" t="s">
        <v>211</v>
      </c>
      <c r="U1" s="51" t="s">
        <v>212</v>
      </c>
      <c r="V1" s="50" t="s">
        <v>213</v>
      </c>
      <c r="W1" s="50" t="s">
        <v>214</v>
      </c>
      <c r="X1" s="50" t="s">
        <v>311</v>
      </c>
      <c r="Y1" s="50" t="s">
        <v>386</v>
      </c>
      <c r="Z1" s="50" t="s">
        <v>387</v>
      </c>
      <c r="AA1" s="50" t="s">
        <v>383</v>
      </c>
      <c r="AB1" s="50" t="s">
        <v>377</v>
      </c>
      <c r="AC1" s="50" t="s">
        <v>388</v>
      </c>
      <c r="AD1" s="51" t="s">
        <v>389</v>
      </c>
      <c r="AE1" s="50" t="s">
        <v>106</v>
      </c>
      <c r="AF1" s="50" t="s">
        <v>176</v>
      </c>
      <c r="AG1" s="50" t="s">
        <v>401</v>
      </c>
      <c r="AH1" s="50" t="s">
        <v>480</v>
      </c>
      <c r="AI1" s="50" t="s">
        <v>481</v>
      </c>
      <c r="AJ1" s="50" t="s">
        <v>690</v>
      </c>
    </row>
    <row r="2" spans="1:36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503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9" t="s">
        <v>229</v>
      </c>
      <c r="V2" t="s">
        <v>230</v>
      </c>
      <c r="W2" t="s">
        <v>298</v>
      </c>
      <c r="X2" t="s">
        <v>6</v>
      </c>
      <c r="Y2" t="s">
        <v>357</v>
      </c>
      <c r="Z2" t="s">
        <v>295</v>
      </c>
      <c r="AA2" t="s">
        <v>373</v>
      </c>
      <c r="AB2" t="s">
        <v>378</v>
      </c>
      <c r="AC2" t="s">
        <v>407</v>
      </c>
      <c r="AD2" s="9" t="s">
        <v>365</v>
      </c>
      <c r="AE2" t="s">
        <v>5</v>
      </c>
      <c r="AF2" t="s">
        <v>224</v>
      </c>
      <c r="AG2" t="s">
        <v>402</v>
      </c>
      <c r="AH2" t="s">
        <v>504</v>
      </c>
      <c r="AI2" t="s">
        <v>520</v>
      </c>
      <c r="AJ2" t="s">
        <v>693</v>
      </c>
    </row>
    <row r="3" spans="1:36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469</v>
      </c>
      <c r="N3" t="s">
        <v>469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9">
        <v>0.3</v>
      </c>
      <c r="V3" t="s">
        <v>246</v>
      </c>
      <c r="W3" t="s">
        <v>259</v>
      </c>
      <c r="X3" t="s">
        <v>309</v>
      </c>
      <c r="Y3" t="s">
        <v>360</v>
      </c>
      <c r="Z3" t="s">
        <v>356</v>
      </c>
      <c r="AA3" t="s">
        <v>374</v>
      </c>
      <c r="AB3" t="s">
        <v>379</v>
      </c>
      <c r="AC3" t="s">
        <v>408</v>
      </c>
      <c r="AD3" s="9" t="s">
        <v>398</v>
      </c>
      <c r="AE3" t="s">
        <v>239</v>
      </c>
      <c r="AF3" t="s">
        <v>241</v>
      </c>
      <c r="AG3" t="s">
        <v>403</v>
      </c>
      <c r="AH3" t="s">
        <v>505</v>
      </c>
      <c r="AI3" t="s">
        <v>521</v>
      </c>
      <c r="AJ3" t="s">
        <v>691</v>
      </c>
    </row>
    <row r="4" spans="1:36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406</v>
      </c>
      <c r="I4" t="s">
        <v>254</v>
      </c>
      <c r="J4" t="s">
        <v>254</v>
      </c>
      <c r="L4" t="s">
        <v>255</v>
      </c>
      <c r="M4" t="s">
        <v>471</v>
      </c>
      <c r="N4" t="s">
        <v>471</v>
      </c>
      <c r="Q4" t="s">
        <v>256</v>
      </c>
      <c r="R4" t="s">
        <v>227</v>
      </c>
      <c r="S4" t="s">
        <v>226</v>
      </c>
      <c r="T4" t="s">
        <v>257</v>
      </c>
      <c r="U4" s="9" t="s">
        <v>479</v>
      </c>
      <c r="V4" t="s">
        <v>258</v>
      </c>
      <c r="W4" t="s">
        <v>270</v>
      </c>
      <c r="X4" t="s">
        <v>689</v>
      </c>
      <c r="Y4" t="s">
        <v>359</v>
      </c>
      <c r="Z4" t="s">
        <v>372</v>
      </c>
      <c r="AA4" t="s">
        <v>375</v>
      </c>
      <c r="AB4" t="s">
        <v>358</v>
      </c>
      <c r="AC4" t="s">
        <v>409</v>
      </c>
      <c r="AD4" s="9" t="s">
        <v>366</v>
      </c>
      <c r="AH4" t="s">
        <v>516</v>
      </c>
      <c r="AI4" t="s">
        <v>522</v>
      </c>
      <c r="AJ4" t="s">
        <v>692</v>
      </c>
    </row>
    <row r="5" spans="1:36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431</v>
      </c>
      <c r="I5" t="s">
        <v>266</v>
      </c>
      <c r="J5" t="s">
        <v>266</v>
      </c>
      <c r="L5" t="s">
        <v>267</v>
      </c>
      <c r="M5" t="s">
        <v>472</v>
      </c>
      <c r="Q5" t="s">
        <v>268</v>
      </c>
      <c r="S5" t="s">
        <v>243</v>
      </c>
      <c r="U5" s="9">
        <v>1.8</v>
      </c>
      <c r="V5" t="s">
        <v>269</v>
      </c>
      <c r="W5" t="s">
        <v>278</v>
      </c>
      <c r="Y5" t="s">
        <v>367</v>
      </c>
      <c r="Z5" t="s">
        <v>355</v>
      </c>
      <c r="AA5" t="s">
        <v>376</v>
      </c>
      <c r="AB5" t="s">
        <v>380</v>
      </c>
      <c r="AC5" t="s">
        <v>410</v>
      </c>
      <c r="AD5" s="9" t="s">
        <v>399</v>
      </c>
      <c r="AH5" t="s">
        <v>483</v>
      </c>
      <c r="AI5" t="s">
        <v>523</v>
      </c>
      <c r="AJ5" t="s">
        <v>694</v>
      </c>
    </row>
    <row r="6" spans="1:36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473</v>
      </c>
      <c r="Q6" t="s">
        <v>276</v>
      </c>
      <c r="U6" s="9">
        <v>3.2</v>
      </c>
      <c r="V6" t="s">
        <v>277</v>
      </c>
      <c r="W6" t="s">
        <v>284</v>
      </c>
      <c r="Y6" t="s">
        <v>368</v>
      </c>
      <c r="AB6" t="s">
        <v>354</v>
      </c>
      <c r="AC6" t="s">
        <v>423</v>
      </c>
      <c r="AD6" s="9" t="s">
        <v>400</v>
      </c>
      <c r="AH6" t="s">
        <v>506</v>
      </c>
      <c r="AI6" t="s">
        <v>524</v>
      </c>
    </row>
    <row r="7" spans="1:36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9">
        <v>10</v>
      </c>
      <c r="V7" t="s">
        <v>283</v>
      </c>
      <c r="W7" t="s">
        <v>289</v>
      </c>
      <c r="Y7" t="s">
        <v>352</v>
      </c>
      <c r="AB7" t="s">
        <v>381</v>
      </c>
      <c r="AC7" t="s">
        <v>424</v>
      </c>
      <c r="AD7" s="9" t="s">
        <v>391</v>
      </c>
      <c r="AH7" t="s">
        <v>507</v>
      </c>
      <c r="AI7" t="s">
        <v>484</v>
      </c>
    </row>
    <row r="8" spans="1:36" x14ac:dyDescent="0.25">
      <c r="A8" t="s">
        <v>285</v>
      </c>
      <c r="E8" t="s">
        <v>286</v>
      </c>
      <c r="Q8" t="s">
        <v>287</v>
      </c>
      <c r="U8" s="9">
        <v>32</v>
      </c>
      <c r="V8" t="s">
        <v>288</v>
      </c>
      <c r="W8" t="s">
        <v>293</v>
      </c>
      <c r="Y8" t="s">
        <v>369</v>
      </c>
      <c r="AB8" t="s">
        <v>382</v>
      </c>
      <c r="AC8" t="s">
        <v>425</v>
      </c>
      <c r="AD8" s="9" t="s">
        <v>361</v>
      </c>
      <c r="AH8" t="s">
        <v>508</v>
      </c>
      <c r="AI8" t="s">
        <v>525</v>
      </c>
    </row>
    <row r="9" spans="1:36" x14ac:dyDescent="0.25">
      <c r="A9" t="s">
        <v>290</v>
      </c>
      <c r="E9" t="s">
        <v>291</v>
      </c>
      <c r="Q9" t="s">
        <v>243</v>
      </c>
      <c r="U9" s="9">
        <v>100</v>
      </c>
      <c r="V9" t="s">
        <v>292</v>
      </c>
      <c r="W9" t="s">
        <v>296</v>
      </c>
      <c r="Y9" t="s">
        <v>370</v>
      </c>
      <c r="AB9" t="s">
        <v>248</v>
      </c>
      <c r="AC9" t="s">
        <v>426</v>
      </c>
      <c r="AD9" s="9" t="s">
        <v>392</v>
      </c>
      <c r="AH9" t="s">
        <v>509</v>
      </c>
      <c r="AI9" t="s">
        <v>526</v>
      </c>
    </row>
    <row r="10" spans="1:36" x14ac:dyDescent="0.25">
      <c r="A10" t="s">
        <v>294</v>
      </c>
      <c r="E10" t="s">
        <v>295</v>
      </c>
      <c r="V10" t="s">
        <v>597</v>
      </c>
      <c r="W10" t="s">
        <v>247</v>
      </c>
      <c r="Y10" t="s">
        <v>371</v>
      </c>
      <c r="AB10" t="s">
        <v>384</v>
      </c>
      <c r="AC10" t="s">
        <v>411</v>
      </c>
      <c r="AD10" s="9" t="s">
        <v>393</v>
      </c>
      <c r="AH10" t="s">
        <v>510</v>
      </c>
      <c r="AI10" t="s">
        <v>527</v>
      </c>
    </row>
    <row r="11" spans="1:36" x14ac:dyDescent="0.25">
      <c r="A11" s="6" t="s">
        <v>297</v>
      </c>
      <c r="V11" t="s">
        <v>598</v>
      </c>
      <c r="AB11" t="s">
        <v>385</v>
      </c>
      <c r="AC11" t="s">
        <v>412</v>
      </c>
      <c r="AD11" s="9" t="s">
        <v>362</v>
      </c>
      <c r="AH11" t="s">
        <v>511</v>
      </c>
      <c r="AI11" t="s">
        <v>528</v>
      </c>
    </row>
    <row r="12" spans="1:36" x14ac:dyDescent="0.25">
      <c r="V12" t="s">
        <v>599</v>
      </c>
      <c r="AC12" t="s">
        <v>413</v>
      </c>
      <c r="AD12" s="9" t="s">
        <v>394</v>
      </c>
      <c r="AH12" t="s">
        <v>512</v>
      </c>
      <c r="AI12" t="s">
        <v>529</v>
      </c>
    </row>
    <row r="13" spans="1:36" x14ac:dyDescent="0.25">
      <c r="V13" t="s">
        <v>600</v>
      </c>
      <c r="AC13" t="s">
        <v>414</v>
      </c>
      <c r="AD13" s="9" t="s">
        <v>395</v>
      </c>
      <c r="AH13" t="s">
        <v>514</v>
      </c>
      <c r="AI13" t="s">
        <v>530</v>
      </c>
    </row>
    <row r="14" spans="1:36" x14ac:dyDescent="0.25">
      <c r="V14" t="s">
        <v>601</v>
      </c>
      <c r="AC14" t="s">
        <v>415</v>
      </c>
      <c r="AD14" s="9" t="s">
        <v>396</v>
      </c>
      <c r="AH14" t="s">
        <v>513</v>
      </c>
      <c r="AI14" t="s">
        <v>531</v>
      </c>
    </row>
    <row r="15" spans="1:36" x14ac:dyDescent="0.25">
      <c r="V15" t="s">
        <v>602</v>
      </c>
      <c r="AC15" t="s">
        <v>416</v>
      </c>
      <c r="AD15" s="9" t="s">
        <v>397</v>
      </c>
      <c r="AH15" t="s">
        <v>515</v>
      </c>
      <c r="AI15" t="s">
        <v>532</v>
      </c>
    </row>
    <row r="16" spans="1:36" x14ac:dyDescent="0.25">
      <c r="V16" t="s">
        <v>603</v>
      </c>
      <c r="AC16" t="s">
        <v>417</v>
      </c>
      <c r="AD16" s="9" t="s">
        <v>363</v>
      </c>
      <c r="AI16" t="s">
        <v>533</v>
      </c>
    </row>
    <row r="17" spans="22:35" x14ac:dyDescent="0.25">
      <c r="V17" t="s">
        <v>604</v>
      </c>
      <c r="AC17" t="s">
        <v>418</v>
      </c>
      <c r="AD17" s="9" t="s">
        <v>390</v>
      </c>
      <c r="AI17" t="s">
        <v>534</v>
      </c>
    </row>
    <row r="18" spans="22:35" x14ac:dyDescent="0.25">
      <c r="V18" t="s">
        <v>605</v>
      </c>
      <c r="AC18" t="s">
        <v>419</v>
      </c>
      <c r="AD18" s="9" t="s">
        <v>364</v>
      </c>
      <c r="AI18" t="s">
        <v>535</v>
      </c>
    </row>
    <row r="19" spans="22:35" x14ac:dyDescent="0.25">
      <c r="V19" t="s">
        <v>606</v>
      </c>
      <c r="AC19" t="s">
        <v>420</v>
      </c>
      <c r="AI19" t="s">
        <v>536</v>
      </c>
    </row>
    <row r="20" spans="22:35" x14ac:dyDescent="0.25">
      <c r="V20" t="s">
        <v>607</v>
      </c>
      <c r="AC20" t="s">
        <v>421</v>
      </c>
      <c r="AI20" t="s">
        <v>537</v>
      </c>
    </row>
    <row r="21" spans="22:35" x14ac:dyDescent="0.25">
      <c r="V21" t="s">
        <v>608</v>
      </c>
      <c r="AC21" t="s">
        <v>422</v>
      </c>
      <c r="AI21" t="s">
        <v>538</v>
      </c>
    </row>
    <row r="22" spans="22:35" x14ac:dyDescent="0.25">
      <c r="V22" t="s">
        <v>610</v>
      </c>
      <c r="AC22" t="s">
        <v>427</v>
      </c>
      <c r="AI22" t="s">
        <v>539</v>
      </c>
    </row>
    <row r="23" spans="22:35" x14ac:dyDescent="0.25">
      <c r="V23" t="s">
        <v>611</v>
      </c>
      <c r="AC23" t="s">
        <v>428</v>
      </c>
      <c r="AI23" t="s">
        <v>540</v>
      </c>
    </row>
    <row r="24" spans="22:35" x14ac:dyDescent="0.25">
      <c r="V24" t="s">
        <v>612</v>
      </c>
      <c r="AC24" t="s">
        <v>429</v>
      </c>
      <c r="AI24" t="s">
        <v>541</v>
      </c>
    </row>
    <row r="25" spans="22:35" x14ac:dyDescent="0.25">
      <c r="V25" t="s">
        <v>613</v>
      </c>
      <c r="AC25" t="s">
        <v>430</v>
      </c>
    </row>
    <row r="26" spans="22:35" x14ac:dyDescent="0.25">
      <c r="V26" t="s">
        <v>614</v>
      </c>
    </row>
    <row r="27" spans="22:35" x14ac:dyDescent="0.25">
      <c r="V27" t="s">
        <v>615</v>
      </c>
    </row>
    <row r="28" spans="22:35" x14ac:dyDescent="0.25">
      <c r="V28" t="s">
        <v>616</v>
      </c>
    </row>
    <row r="29" spans="22:35" x14ac:dyDescent="0.25">
      <c r="V29" t="s">
        <v>617</v>
      </c>
    </row>
    <row r="30" spans="22:35" x14ac:dyDescent="0.25">
      <c r="V30" t="s">
        <v>609</v>
      </c>
    </row>
    <row r="31" spans="22:35" x14ac:dyDescent="0.25">
      <c r="V31" t="s">
        <v>618</v>
      </c>
    </row>
    <row r="32" spans="22:35" x14ac:dyDescent="0.25">
      <c r="V32" t="s">
        <v>619</v>
      </c>
    </row>
    <row r="33" spans="22:22" x14ac:dyDescent="0.25">
      <c r="V33" t="s">
        <v>620</v>
      </c>
    </row>
    <row r="34" spans="22:22" x14ac:dyDescent="0.25">
      <c r="V34" t="s">
        <v>621</v>
      </c>
    </row>
    <row r="35" spans="22:22" x14ac:dyDescent="0.25">
      <c r="V35" t="s">
        <v>622</v>
      </c>
    </row>
    <row r="36" spans="22:22" x14ac:dyDescent="0.25">
      <c r="V36" t="s">
        <v>623</v>
      </c>
    </row>
    <row r="37" spans="22:22" x14ac:dyDescent="0.25">
      <c r="V37" t="s">
        <v>624</v>
      </c>
    </row>
    <row r="38" spans="22:22" x14ac:dyDescent="0.25">
      <c r="V38" t="s">
        <v>625</v>
      </c>
    </row>
    <row r="39" spans="22:22" x14ac:dyDescent="0.25">
      <c r="V39" t="s">
        <v>626</v>
      </c>
    </row>
    <row r="40" spans="22:22" x14ac:dyDescent="0.25">
      <c r="V40" t="s">
        <v>627</v>
      </c>
    </row>
    <row r="41" spans="22:22" x14ac:dyDescent="0.25">
      <c r="V41" t="s">
        <v>628</v>
      </c>
    </row>
    <row r="42" spans="22:22" x14ac:dyDescent="0.25">
      <c r="V42" t="s">
        <v>629</v>
      </c>
    </row>
    <row r="43" spans="22:22" x14ac:dyDescent="0.25">
      <c r="V43" t="s">
        <v>630</v>
      </c>
    </row>
    <row r="44" spans="22:22" x14ac:dyDescent="0.25">
      <c r="V44" t="s">
        <v>631</v>
      </c>
    </row>
    <row r="45" spans="22:22" x14ac:dyDescent="0.25">
      <c r="V45" t="s">
        <v>632</v>
      </c>
    </row>
    <row r="46" spans="22:22" x14ac:dyDescent="0.25">
      <c r="V46" t="s">
        <v>633</v>
      </c>
    </row>
    <row r="47" spans="22:22" x14ac:dyDescent="0.25">
      <c r="V47" t="s">
        <v>634</v>
      </c>
    </row>
    <row r="48" spans="22:22" x14ac:dyDescent="0.25">
      <c r="V48" t="s">
        <v>635</v>
      </c>
    </row>
    <row r="49" spans="22:22" x14ac:dyDescent="0.25">
      <c r="V49" t="s">
        <v>636</v>
      </c>
    </row>
    <row r="50" spans="22:22" x14ac:dyDescent="0.25">
      <c r="V50" t="s">
        <v>637</v>
      </c>
    </row>
    <row r="51" spans="22:22" x14ac:dyDescent="0.25">
      <c r="V51" t="s">
        <v>638</v>
      </c>
    </row>
    <row r="52" spans="22:22" x14ac:dyDescent="0.25">
      <c r="V52" t="s">
        <v>639</v>
      </c>
    </row>
    <row r="53" spans="22:22" x14ac:dyDescent="0.25">
      <c r="V53" t="s">
        <v>640</v>
      </c>
    </row>
    <row r="54" spans="22:22" x14ac:dyDescent="0.25">
      <c r="V54" t="s">
        <v>641</v>
      </c>
    </row>
    <row r="55" spans="22:22" x14ac:dyDescent="0.25">
      <c r="V55" t="s">
        <v>642</v>
      </c>
    </row>
    <row r="56" spans="22:22" x14ac:dyDescent="0.25">
      <c r="V56" t="s">
        <v>643</v>
      </c>
    </row>
    <row r="57" spans="22:22" x14ac:dyDescent="0.25">
      <c r="V57" t="s">
        <v>644</v>
      </c>
    </row>
    <row r="58" spans="22:22" x14ac:dyDescent="0.25">
      <c r="V58" t="s">
        <v>645</v>
      </c>
    </row>
    <row r="59" spans="22:22" x14ac:dyDescent="0.25">
      <c r="V59" t="s">
        <v>646</v>
      </c>
    </row>
    <row r="60" spans="22:22" x14ac:dyDescent="0.25">
      <c r="V60" t="s">
        <v>647</v>
      </c>
    </row>
    <row r="61" spans="22:22" x14ac:dyDescent="0.25">
      <c r="V61" t="s">
        <v>648</v>
      </c>
    </row>
    <row r="62" spans="22:22" x14ac:dyDescent="0.25">
      <c r="V62" t="s">
        <v>649</v>
      </c>
    </row>
    <row r="63" spans="22:22" x14ac:dyDescent="0.25">
      <c r="V63" t="s">
        <v>650</v>
      </c>
    </row>
    <row r="64" spans="22:22" x14ac:dyDescent="0.25">
      <c r="V64" t="s">
        <v>651</v>
      </c>
    </row>
    <row r="65" spans="22:22" x14ac:dyDescent="0.25">
      <c r="V65" t="s">
        <v>652</v>
      </c>
    </row>
    <row r="66" spans="22:22" x14ac:dyDescent="0.25">
      <c r="V66" t="s">
        <v>653</v>
      </c>
    </row>
    <row r="67" spans="22:22" x14ac:dyDescent="0.25">
      <c r="V67" t="s">
        <v>654</v>
      </c>
    </row>
    <row r="68" spans="22:22" x14ac:dyDescent="0.25">
      <c r="V68" t="s">
        <v>655</v>
      </c>
    </row>
    <row r="69" spans="22:22" x14ac:dyDescent="0.25">
      <c r="V69" t="s">
        <v>656</v>
      </c>
    </row>
    <row r="70" spans="22:22" x14ac:dyDescent="0.25">
      <c r="V70" t="s">
        <v>657</v>
      </c>
    </row>
    <row r="71" spans="22:22" x14ac:dyDescent="0.25">
      <c r="V71" t="s">
        <v>658</v>
      </c>
    </row>
    <row r="72" spans="22:22" x14ac:dyDescent="0.25">
      <c r="V72" t="s">
        <v>659</v>
      </c>
    </row>
    <row r="73" spans="22:22" x14ac:dyDescent="0.25">
      <c r="V73" t="s">
        <v>660</v>
      </c>
    </row>
    <row r="74" spans="22:22" x14ac:dyDescent="0.25">
      <c r="V74" t="s">
        <v>661</v>
      </c>
    </row>
    <row r="75" spans="22:22" x14ac:dyDescent="0.25">
      <c r="V75" t="s">
        <v>662</v>
      </c>
    </row>
    <row r="76" spans="22:22" x14ac:dyDescent="0.25">
      <c r="V76" t="s">
        <v>663</v>
      </c>
    </row>
    <row r="77" spans="22:22" x14ac:dyDescent="0.25">
      <c r="V77" t="s">
        <v>664</v>
      </c>
    </row>
    <row r="78" spans="22:22" x14ac:dyDescent="0.25">
      <c r="V78" t="s">
        <v>665</v>
      </c>
    </row>
    <row r="79" spans="22:22" x14ac:dyDescent="0.25">
      <c r="V79" t="s">
        <v>666</v>
      </c>
    </row>
    <row r="80" spans="22:22" x14ac:dyDescent="0.25">
      <c r="V80" t="s">
        <v>667</v>
      </c>
    </row>
    <row r="81" spans="22:22" x14ac:dyDescent="0.25">
      <c r="V81" t="s">
        <v>668</v>
      </c>
    </row>
    <row r="82" spans="22:22" x14ac:dyDescent="0.25">
      <c r="V82" t="s">
        <v>669</v>
      </c>
    </row>
    <row r="83" spans="22:22" x14ac:dyDescent="0.25">
      <c r="V83" t="s">
        <v>670</v>
      </c>
    </row>
    <row r="84" spans="22:22" x14ac:dyDescent="0.25">
      <c r="V84" t="s">
        <v>671</v>
      </c>
    </row>
    <row r="85" spans="22:22" x14ac:dyDescent="0.25">
      <c r="V85" t="s">
        <v>672</v>
      </c>
    </row>
    <row r="86" spans="22:22" x14ac:dyDescent="0.25">
      <c r="V86" t="s">
        <v>673</v>
      </c>
    </row>
    <row r="87" spans="22:22" x14ac:dyDescent="0.25">
      <c r="V87" t="s">
        <v>674</v>
      </c>
    </row>
    <row r="88" spans="22:22" x14ac:dyDescent="0.25">
      <c r="V88" t="s">
        <v>675</v>
      </c>
    </row>
    <row r="89" spans="22:22" x14ac:dyDescent="0.25">
      <c r="V89" t="s">
        <v>676</v>
      </c>
    </row>
    <row r="90" spans="22:22" x14ac:dyDescent="0.25">
      <c r="V90" t="s">
        <v>677</v>
      </c>
    </row>
    <row r="91" spans="22:22" x14ac:dyDescent="0.25">
      <c r="V91" t="s">
        <v>678</v>
      </c>
    </row>
    <row r="92" spans="22:22" x14ac:dyDescent="0.25">
      <c r="V92" t="s">
        <v>679</v>
      </c>
    </row>
    <row r="93" spans="22:22" x14ac:dyDescent="0.25">
      <c r="V93" t="s">
        <v>680</v>
      </c>
    </row>
    <row r="94" spans="22:22" x14ac:dyDescent="0.25">
      <c r="V94" t="s">
        <v>681</v>
      </c>
    </row>
    <row r="95" spans="22:22" x14ac:dyDescent="0.25">
      <c r="V95" t="s">
        <v>682</v>
      </c>
    </row>
    <row r="96" spans="22:22" x14ac:dyDescent="0.25">
      <c r="V96" t="s">
        <v>683</v>
      </c>
    </row>
    <row r="97" spans="22:22" x14ac:dyDescent="0.25">
      <c r="V97" t="s">
        <v>684</v>
      </c>
    </row>
    <row r="98" spans="22:22" x14ac:dyDescent="0.25">
      <c r="V98" t="s">
        <v>685</v>
      </c>
    </row>
    <row r="99" spans="22:22" x14ac:dyDescent="0.25">
      <c r="V99" t="s">
        <v>686</v>
      </c>
    </row>
    <row r="100" spans="22:22" x14ac:dyDescent="0.25">
      <c r="V100" t="s">
        <v>687</v>
      </c>
    </row>
    <row r="101" spans="22:22" x14ac:dyDescent="0.25">
      <c r="V101" t="s">
        <v>688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33</vt:i4>
      </vt:variant>
    </vt:vector>
  </HeadingPairs>
  <TitlesOfParts>
    <vt:vector size="49" baseType="lpstr">
      <vt:lpstr>Daten</vt:lpstr>
      <vt:lpstr>DatenGebaeude</vt:lpstr>
      <vt:lpstr>DatenHaufwerk</vt:lpstr>
      <vt:lpstr>DatenErkundungsstelle</vt:lpstr>
      <vt:lpstr>Überblick</vt:lpstr>
      <vt:lpstr>Probenzusammenstellung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  <vt:lpstr>GOB</vt:lpstr>
      <vt:lpstr>gob_binderschicht</vt:lpstr>
      <vt:lpstr>gob_deckschicht</vt:lpstr>
      <vt:lpstr>gob_dritter_punkt</vt:lpstr>
      <vt:lpstr>gob_erster_punkt</vt:lpstr>
      <vt:lpstr>gob_korngroessenverteilung</vt:lpstr>
      <vt:lpstr>gob_lp</vt:lpstr>
      <vt:lpstr>gob_pechnachweis_halbqualitativ</vt:lpstr>
      <vt:lpstr>gob_pechnachweis_qualitativ</vt:lpstr>
      <vt:lpstr>gob_pechnachweis_quantitativ</vt:lpstr>
      <vt:lpstr>gob_pechnachweis_text</vt:lpstr>
      <vt:lpstr>gob_proben_anzahl</vt:lpstr>
      <vt:lpstr>gob_ruk</vt:lpstr>
      <vt:lpstr>gob_ruk_text</vt:lpstr>
      <vt:lpstr>gob_schichtdicke</vt:lpstr>
      <vt:lpstr>gob_schichtdicke_text</vt:lpstr>
      <vt:lpstr>gob_tragschicht</vt:lpstr>
      <vt:lpstr>gob_ueberschrift</vt:lpstr>
      <vt:lpstr>gob_zweiter_punkt</vt:lpstr>
      <vt:lpstr>proben_gob</vt:lpstr>
      <vt:lpstr>PROBENART_ERK</vt:lpstr>
      <vt:lpstr>schichtdicke_gob</vt:lpstr>
      <vt:lpstr>tob_dritter_punkt</vt:lpstr>
      <vt:lpstr>tob_erster_punkt</vt:lpstr>
      <vt:lpstr>tob_korngroessenverteilung</vt:lpstr>
      <vt:lpstr>tob_korngroessenverteilung_text</vt:lpstr>
      <vt:lpstr>tob_lp</vt:lpstr>
      <vt:lpstr>tob_lp_text</vt:lpstr>
      <vt:lpstr>tob_proben_anzahl</vt:lpstr>
      <vt:lpstr>tob_schichtdicke</vt:lpstr>
      <vt:lpstr>tob_schichtdicke_text</vt:lpstr>
      <vt:lpstr>tob_ueberschrift</vt:lpstr>
      <vt:lpstr>tob_zweiter_punkt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Vincent Görlich</cp:lastModifiedBy>
  <dcterms:created xsi:type="dcterms:W3CDTF">2021-07-27T08:53:06Z</dcterms:created>
  <dcterms:modified xsi:type="dcterms:W3CDTF">2024-05-08T18:47:40Z</dcterms:modified>
</cp:coreProperties>
</file>