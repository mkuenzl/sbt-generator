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66B380C8-343D-428A-904F-97CE500F0349}" xr6:coauthVersionLast="47" xr6:coauthVersionMax="47" xr10:uidLastSave="{00000000-0000-0000-0000-000000000000}"/>
  <bookViews>
    <workbookView xWindow="-120" yWindow="-120" windowWidth="29040" windowHeight="15840" tabRatio="914" activeTab="10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DatenErkundungsstelle!$A$1:$DE$11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Daten!$A$1:$DX$15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41" l="1"/>
  <c r="F12" i="41"/>
  <c r="Y12" i="41"/>
  <c r="Z12" i="41"/>
  <c r="A11" i="41"/>
  <c r="F11" i="41"/>
  <c r="Y11" i="41"/>
  <c r="Z11" i="41"/>
  <c r="A10" i="41"/>
  <c r="F10" i="41"/>
  <c r="Y10" i="41"/>
  <c r="Z10" i="41"/>
  <c r="A9" i="41"/>
  <c r="F9" i="41"/>
  <c r="Y9" i="41"/>
  <c r="Z9" i="41"/>
  <c r="A8" i="41"/>
  <c r="F8" i="41"/>
  <c r="Y8" i="41"/>
  <c r="Z8" i="41"/>
  <c r="A7" i="41"/>
  <c r="F7" i="41"/>
  <c r="Y7" i="41"/>
  <c r="Z7" i="41"/>
  <c r="A6" i="41"/>
  <c r="F6" i="41"/>
  <c r="Y6" i="41"/>
  <c r="Z6" i="41"/>
  <c r="N3" i="41"/>
  <c r="N7" i="41"/>
  <c r="N4" i="41"/>
  <c r="N8" i="41"/>
  <c r="N10" i="41"/>
  <c r="N11" i="41" s="1"/>
  <c r="N12" i="41" s="1"/>
  <c r="N5" i="41"/>
  <c r="N9" i="41"/>
  <c r="N6" i="41"/>
  <c r="M11" i="41" l="1"/>
  <c r="M10" i="41"/>
  <c r="M8" i="41"/>
  <c r="M7" i="41"/>
  <c r="M12" i="41" l="1"/>
  <c r="M9" i="41"/>
  <c r="Y3" i="41"/>
  <c r="Y4" i="41"/>
  <c r="Y5" i="41"/>
  <c r="K2" i="10"/>
  <c r="K3" i="10"/>
  <c r="F2" i="18" l="1"/>
  <c r="G2" i="18" s="1"/>
  <c r="H2" i="18" s="1"/>
  <c r="I2" i="18" s="1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O12" i="45" l="1"/>
  <c r="K13" i="45" s="1"/>
  <c r="M3" i="41"/>
  <c r="J2" i="18"/>
  <c r="N3" i="45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B2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U4" i="45"/>
  <c r="Q4" i="45"/>
  <c r="T3" i="45"/>
  <c r="P3" i="45"/>
  <c r="B4" i="1"/>
  <c r="C11" i="45" l="1"/>
  <c r="C12" i="45" s="1"/>
  <c r="B12" i="45" s="1"/>
  <c r="M5" i="41"/>
  <c r="K5" i="45"/>
  <c r="K6" i="45"/>
  <c r="C4" i="45"/>
  <c r="D3" i="10"/>
  <c r="Z3" i="41"/>
  <c r="Z4" i="41"/>
  <c r="F4" i="41"/>
  <c r="A4" i="41"/>
  <c r="F3" i="41"/>
  <c r="A3" i="41"/>
  <c r="B2" i="18"/>
  <c r="A2" i="18"/>
  <c r="B2" i="17"/>
  <c r="A2" i="17"/>
  <c r="M6" i="41" l="1"/>
  <c r="C5" i="45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2" i="40" a="1"/>
  <c r="K3" i="40" a="1"/>
  <c r="C6" i="45" l="1"/>
  <c r="B6" i="45" s="1"/>
  <c r="K2" i="18"/>
  <c r="M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L2" authorId="0" shapeId="0" xr:uid="{D736EE26-4AA4-49E5-A521-2432118827D6}">
      <text>
        <r>
          <rPr>
            <b/>
            <sz val="9"/>
            <color indexed="81"/>
            <rFont val="Segoe UI"/>
            <family val="2"/>
          </rPr>
          <t>Dicke der Schicht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M2" authorId="0" shapeId="0" xr:uid="{C1D10297-D8AA-48A5-A481-B805D292702C}">
      <text>
        <r>
          <rPr>
            <b/>
            <sz val="9"/>
            <color indexed="81"/>
            <rFont val="Segoe UI"/>
            <charset val="1"/>
          </rPr>
          <t xml:space="preserve">Berechnet sich automatisch:
TIEFE_ENDE - DICKE
</t>
        </r>
      </text>
    </comment>
    <comment ref="N2" authorId="0" shapeId="0" xr:uid="{EE43E4F4-41B7-47EA-B0FE-AC9DE51024A5}">
      <text>
        <r>
          <rPr>
            <b/>
            <sz val="9"/>
            <color indexed="81"/>
            <rFont val="Segoe UI"/>
            <family val="2"/>
          </rPr>
          <t>Berechnet sich automatisch:
Wenn die Vorgängerzeile die gleiche PROBE.ID hat, wird TIEFE_ENDE der Vorgängerzeile auf die aktuelle Dicke addiert.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015683-7CF3-49AB-9995-81CC342D683D}" keepAlive="1" name="Abfrage - Combined:Data:Table (2)" description="Verbindung mit der Abfrage 'Combined:Data:Table (2)' in der Arbeitsmappe." type="5" refreshedVersion="0" background="1">
    <dbPr connection="Provider=Microsoft.Mashup.OleDb.1;Data Source=$Workbook$;Location=&quot;Combined:Data:Table (2)&quot;;Extended Properties=&quot;&quot;" command="SELECT * FROM [Combined:Data:Table (2)]"/>
  </connection>
  <connection id="2" xr16:uid="{E415CA1E-507E-4C96-A47B-CB907BD78838}" keepAlive="1" name="Abfrage - PreviousGOBCluster" description="Verbindung mit der Abfrage 'PreviousGOBCluster' in der Arbeitsmappe." type="5" refreshedVersion="0" background="1">
    <dbPr connection="Provider=Microsoft.Mashup.OleDb.1;Data Source=$Workbook$;Location=PreviousGOBCluster;Extended Properties=&quot;&quot;" command="SELECT * FROM [PreviousGOBCluster]"/>
  </connection>
  <connection id="3" xr16:uid="{5079C3C2-1C37-4DD9-A025-CAA0C3AC4447}" keepAlive="1" name="Abfrage - SampleNumberFunction" description="Verbindung mit der Abfrage 'SampleNumberFunction' in der Arbeitsmappe." type="5" refreshedVersion="0" background="1">
    <dbPr connection="Provider=Microsoft.Mashup.OleDb.1;Data Source=$Workbook$;Location=SampleNumberFunction;Extended Properties=&quot;&quot;" command="SELECT * FROM [SampleNumberFunction]"/>
  </connection>
  <connection id="4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5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9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10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1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2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3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4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5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6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<sst xmlns="http://schemas.openxmlformats.org/spreadsheetml/2006/main" count="1886" uniqueCount="691">
  <si>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</si>
  <si>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</si>
  <si>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</si>
  <si>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</si>
  <si>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</si>
  <si>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</si>
  <si>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</si>
  <si>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</si>
  <si>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</si>
  <si>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</si>
  <si>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</si>
  <si>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</si>
  <si>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</si>
  <si>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</si>
  <si>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</si>
  <si>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</si>
  <si>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</si>
  <si>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</si>
  <si>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</si>
  <si>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</si>
  <si>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</si>
  <si>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</si>
  <si>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</si>
  <si>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</si>
  <si>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</si>
  <si>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</si>
  <si>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</si>
  <si>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</si>
  <si>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</si>
  <si>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</si>
  <si>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</si>
  <si>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</si>
  <si>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</si>
  <si>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</si>
  <si>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</si>
  <si>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</si>
  <si>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</si>
  <si>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</si>
  <si>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</si>
  <si>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</si>
  <si>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</si>
  <si>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</si>
  <si>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</si>
  <si>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</si>
  <si>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</si>
  <si>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</si>
  <si>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</si>
  <si>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</si>
  <si>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</si>
  <si>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</si>
  <si>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</si>
  <si>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</si>
  <si>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</si>
  <si>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</si>
  <si>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</si>
  <si>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</si>
  <si>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</si>
  <si>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</si>
  <si>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</si>
  <si>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</si>
  <si>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</si>
  <si>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</si>
  <si>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</si>
  <si>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</si>
  <si>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</si>
  <si>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</si>
  <si>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</si>
  <si>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</si>
  <si>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</si>
  <si>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</si>
  <si>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</si>
  <si>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</si>
  <si>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</si>
  <si>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</si>
  <si>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</si>
  <si>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</si>
  <si>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</si>
  <si>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</si>
  <si>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</si>
  <si>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</si>
  <si>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</si>
  <si>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</si>
  <si>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</si>
  <si>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</si>
  <si>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</si>
  <si>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</si>
  <si>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</si>
  <si>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</si>
  <si>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</si>
  <si>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</si>
  <si>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</si>
  <si>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</si>
  <si>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</si>
  <si>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</si>
  <si>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</si>
  <si>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</si>
  <si>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</si>
  <si>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</si>
  <si>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</si>
  <si>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</si>
  <si>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</si>
  <si>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</si>
  <si>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</si>
  <si>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</si>
  <si>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</si>
  <si>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</si>
  <si>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</si>
  <si>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</si>
  <si>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</si>
  <si>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</si>
  <si>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</si>
  <si>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</si>
  <si>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</si>
  <si>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</si>
  <si>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</si>
  <si>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</si>
  <si>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</si>
  <si>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</si>
  <si>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</si>
  <si>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</si>
  <si>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</si>
  <si>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</si>
  <si>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</si>
  <si>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</si>
  <si>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</si>
  <si>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</si>
  <si>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</si>
  <si>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</si>
  <si>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</si>
  <si>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</si>
  <si>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</si>
  <si>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</si>
  <si>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</si>
  <si>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</si>
  <si>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</si>
  <si>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</si>
  <si>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</si>
  <si>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</si>
  <si>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</si>
  <si>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</si>
  <si>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</si>
  <si>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</si>
  <si>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</si>
  <si>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</si>
  <si>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</si>
  <si>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</si>
  <si>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</si>
  <si>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</si>
  <si>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</si>
  <si>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</si>
  <si>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</si>
  <si>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</si>
  <si>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</si>
  <si>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</si>
  <si>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</si>
  <si>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</si>
  <si>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</si>
  <si>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</si>
  <si>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</si>
  <si>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</si>
  <si>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</si>
  <si>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</si>
  <si>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</si>
  <si>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</si>
  <si>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</si>
  <si>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</si>
  <si>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</si>
  <si>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</si>
  <si>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</si>
  <si>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</si>
  <si>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</si>
  <si>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</si>
  <si>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</si>
  <si>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</si>
  <si>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</si>
  <si>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</si>
  <si>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</si>
  <si>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</si>
  <si>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</si>
  <si>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</si>
  <si>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</si>
  <si>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</si>
  <si>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</si>
  <si>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</si>
  <si>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</si>
  <si>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</si>
  <si>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</si>
  <si>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</si>
  <si>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</si>
  <si>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</si>
  <si>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</si>
  <si>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</si>
  <si>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</si>
  <si>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</si>
  <si>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</si>
  <si>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</si>
  <si>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</si>
  <si>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</si>
  <si>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</si>
  <si>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</si>
  <si>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</si>
  <si>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</si>
  <si>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</si>
  <si>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</si>
  <si>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</si>
  <si>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</si>
  <si>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</si>
  <si>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</si>
  <si>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</si>
  <si>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</si>
  <si>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</si>
  <si>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</si>
  <si>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</si>
  <si>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</si>
  <si>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</si>
  <si>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</si>
  <si>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</si>
  <si>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</si>
  <si>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</si>
  <si>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</si>
  <si>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</si>
  <si>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</si>
  <si>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</si>
  <si>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</si>
  <si>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</si>
  <si>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</si>
  <si>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</si>
  <si>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</si>
  <si>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</si>
  <si>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</si>
  <si>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</si>
  <si>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</si>
  <si>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</si>
  <si>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</si>
  <si>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</si>
  <si>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</si>
  <si>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</si>
  <si>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</si>
  <si>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</si>
  <si>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</si>
  <si>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</si>
  <si>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</si>
  <si>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</si>
  <si>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</si>
  <si>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</si>
  <si>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</si>
  <si>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</si>
  <si>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</si>
  <si>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</si>
  <si>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</si>
  <si>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</si>
  <si>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</si>
  <si>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</si>
  <si>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</si>
  <si>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</si>
  <si>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</si>
  <si>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</si>
  <si>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</si>
  <si>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</si>
  <si>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</si>
  <si>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</si>
  <si>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</si>
  <si>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</si>
  <si>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</si>
  <si>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</si>
  <si>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</si>
  <si>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</si>
  <si>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</si>
  <si>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</si>
  <si>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</si>
  <si>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</si>
  <si>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</si>
  <si>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</si>
  <si>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</si>
  <si>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</si>
  <si>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</si>
  <si>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</si>
  <si>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</si>
  <si>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</si>
  <si>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</si>
  <si>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</si>
  <si>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</si>
  <si>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</si>
  <si>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</si>
  <si>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</si>
  <si>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</si>
  <si>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</si>
  <si>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</si>
  <si>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</si>
  <si>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</si>
  <si>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</si>
  <si>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</si>
  <si>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</si>
  <si>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</si>
  <si>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</si>
  <si>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</si>
  <si>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</si>
  <si>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</si>
  <si>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</si>
  <si>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</si>
  <si>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</si>
  <si>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</si>
  <si>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</si>
  <si>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</si>
  <si>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</si>
  <si>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</si>
  <si>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</si>
  <si>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</si>
  <si>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</si>
  <si>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</si>
  <si>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</si>
  <si>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</si>
  <si>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</si>
  <si>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</si>
  <si>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</si>
  <si>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</si>
  <si>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</si>
  <si>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</si>
  <si>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</si>
  <si>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</si>
  <si>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</si>
  <si>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</si>
  <si>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</si>
  <si>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</si>
  <si>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</si>
  <si>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</si>
  <si>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</si>
  <si>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</si>
  <si>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</si>
  <si>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</si>
  <si>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</si>
  <si>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</si>
  <si>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</si>
  <si>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</si>
  <si>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</si>
  <si>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</si>
  <si>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</si>
  <si>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</si>
  <si>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</si>
  <si>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</si>
  <si>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</si>
  <si>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</si>
  <si>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</si>
  <si>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</si>
  <si>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</si>
  <si>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</si>
  <si>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</si>
  <si>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</si>
  <si>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</si>
  <si>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</si>
  <si>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</si>
  <si>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</si>
  <si>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</si>
  <si>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</si>
  <si>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</si>
  <si>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</si>
  <si>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</si>
  <si>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</si>
  <si>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</si>
  <si>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</si>
  <si>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</si>
  <si>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</si>
  <si>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</si>
  <si>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</si>
  <si>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</si>
  <si>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</si>
  <si>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</si>
  <si>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</si>
  <si>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</si>
  <si>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</si>
  <si>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</si>
  <si>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</si>
  <si>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</si>
  <si>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</si>
  <si>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</si>
  <si>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</si>
  <si>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</si>
  <si>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</si>
  <si>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</si>
  <si>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</si>
  <si>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</si>
  <si>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</si>
  <si>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</si>
  <si>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</si>
  <si>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</si>
  <si>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</si>
  <si>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</si>
  <si>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</si>
  <si>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</si>
  <si>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</si>
  <si>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</si>
  <si>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</si>
  <si>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</si>
  <si>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</si>
  <si>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</si>
  <si>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</si>
  <si>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</si>
  <si>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</si>
  <si>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</si>
  <si>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</si>
  <si>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</si>
  <si>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</si>
  <si>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</si>
  <si>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</si>
  <si>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</si>
  <si>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</si>
  <si>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</si>
  <si>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</si>
  <si>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</si>
  <si>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</si>
  <si>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</si>
  <si>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</si>
  <si>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</si>
  <si>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</si>
  <si>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</si>
  <si>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</si>
  <si>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</si>
  <si>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</si>
  <si>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</si>
  <si>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</si>
  <si>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</si>
  <si>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</si>
  <si>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</si>
  <si>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</si>
  <si>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</si>
  <si>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</si>
  <si>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</si>
  <si>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</si>
  <si>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</si>
  <si>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</si>
  <si>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</si>
  <si>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</si>
  <si>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</si>
  <si>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</si>
  <si>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</si>
  <si>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</si>
  <si>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</si>
  <si>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</si>
  <si>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</si>
  <si>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</si>
  <si>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</si>
  <si>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</si>
  <si>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</si>
  <si>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</si>
  <si>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</si>
  <si>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</si>
  <si>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</si>
  <si>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</si>
  <si>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</si>
  <si>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</si>
  <si>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</si>
  <si>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</si>
  <si>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</si>
  <si>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</si>
  <si>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</si>
  <si>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</si>
  <si>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</si>
  <si>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</si>
  <si>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</si>
  <si>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</si>
  <si>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</si>
  <si>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</si>
  <si>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</si>
  <si>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</si>
  <si>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</si>
  <si>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</si>
  <si>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</si>
  <si>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</si>
  <si>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</si>
  <si>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</si>
  <si>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</si>
  <si>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</si>
  <si>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</si>
  <si>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</si>
  <si>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</si>
  <si>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</si>
  <si>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</si>
  <si>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</si>
  <si>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</si>
  <si>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</si>
  <si>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</si>
  <si>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</si>
  <si>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</si>
  <si>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</si>
  <si>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</si>
  <si>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</si>
  <si>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</si>
  <si>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</si>
  <si>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</si>
  <si>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</si>
  <si>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</si>
  <si>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</si>
  <si>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</si>
  <si>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</si>
  <si>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</si>
  <si>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</si>
  <si>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</si>
  <si>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</si>
  <si>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</si>
  <si>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</si>
  <si>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</si>
  <si>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</si>
  <si>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</si>
  <si>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</si>
  <si>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</si>
  <si>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</si>
  <si>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</si>
  <si>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</si>
  <si>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</si>
  <si>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</si>
  <si>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</si>
  <si>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</si>
  <si>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</si>
  <si>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</si>
  <si>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</si>
  <si>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</si>
  <si>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</si>
  <si>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</si>
  <si>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</si>
  <si>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</si>
  <si>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</si>
  <si>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</si>
  <si>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</si>
  <si>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</si>
  <si>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</si>
  <si>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</si>
  <si>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</si>
  <si>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</si>
  <si>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</si>
  <si>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</si>
  <si>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</si>
  <si>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</si>
  <si>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</si>
  <si>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</si>
  <si>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</si>
  <si>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</si>
  <si>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</si>
  <si>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</si>
  <si>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</si>
  <si>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</si>
  <si>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</si>
  <si>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</si>
  <si>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</si>
  <si>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</si>
  <si>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</si>
  <si>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</si>
  <si>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</si>
  <si>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</si>
  <si>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</si>
  <si>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</si>
  <si>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</si>
  <si>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</si>
  <si>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</si>
  <si>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</si>
  <si>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</si>
  <si>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</si>
  <si>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</si>
  <si>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</si>
  <si>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</si>
  <si>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</si>
  <si>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</si>
  <si>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</si>
  <si>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</si>
  <si>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</si>
  <si>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</si>
  <si>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</si>
  <si>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</si>
  <si>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</si>
  <si>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</si>
  <si>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</si>
  <si>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</si>
  <si>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</si>
  <si>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</si>
  <si>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</si>
  <si>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</si>
  <si>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</si>
  <si>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</si>
  <si>
    <t>Index</t>
  </si>
  <si>
    <t>SAMPLE.NUMBER</t>
  </si>
  <si>
    <t>Calculated_Sample_Number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</si>
  <si>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</si>
  <si>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</si>
  <si>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</si>
  <si>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</si>
  <si>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</si>
  <si>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</si>
  <si>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</si>
  <si>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</si>
  <si>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</si>
  <si>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</si>
  <si>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SE5</t>
  </si>
  <si>
    <t>SE8</t>
  </si>
  <si>
    <t>SE7</t>
  </si>
  <si>
    <t>SE6</t>
  </si>
  <si>
    <t>Boden</t>
  </si>
  <si>
    <t>SE9</t>
  </si>
  <si>
    <t>SE11</t>
  </si>
  <si>
    <t>SE10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</si>
  <si>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</si>
  <si>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</si>
  <si>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</si>
  <si>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</si>
  <si>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</si>
  <si>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</si>
  <si>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</si>
  <si>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</si>
  <si>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</si>
  <si>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</si>
  <si>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</si>
  <si>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</si>
  <si>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x29</t>
  </si>
  <si>
    <t>x20</t>
  </si>
  <si>
    <t>x21</t>
  </si>
  <si>
    <t>x22</t>
  </si>
  <si>
    <t>x23</t>
  </si>
  <si>
    <t>x24</t>
  </si>
  <si>
    <t>x25</t>
  </si>
  <si>
    <t>x26</t>
  </si>
  <si>
    <t>x27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</si>
  <si>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</si>
  <si>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</si>
  <si>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</si>
  <si>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</si>
  <si>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</si>
  <si>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</si>
  <si>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</si>
  <si>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</si>
  <si>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</si>
  <si>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</si>
  <si>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</si>
  <si>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</si>
  <si>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</si>
  <si>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</si>
  <si>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</si>
  <si>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</si>
  <si>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</si>
  <si>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</si>
  <si>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</si>
  <si>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</si>
  <si>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</si>
  <si>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</si>
  <si>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</si>
  <si>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</si>
  <si>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</si>
  <si>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</si>
  <si>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</si>
  <si>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</si>
  <si>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</si>
  <si>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</si>
  <si>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</si>
  <si>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</si>
  <si>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</si>
  <si>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</si>
  <si>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</si>
  <si>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</si>
  <si>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</si>
  <si>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</si>
  <si>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</si>
  <si>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</si>
  <si>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</si>
  <si>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</si>
  <si>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</si>
  <si>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</si>
  <si>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</si>
  <si>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</si>
  <si>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</si>
  <si>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</si>
  <si>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</si>
  <si>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</si>
  <si>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</si>
  <si>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</si>
  <si>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</si>
  <si>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</si>
  <si>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</si>
  <si>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</si>
  <si>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</si>
  <si>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</si>
  <si>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</si>
  <si>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</si>
  <si>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</si>
  <si>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</si>
  <si>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</si>
  <si>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</si>
  <si>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</si>
  <si>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</si>
  <si>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</si>
  <si>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</si>
  <si>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</si>
  <si>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</si>
  <si>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</si>
  <si>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Mischprobe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</si>
</sst>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2">
    <dxf>
      <numFmt numFmtId="0" formatCode="General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ECACB40-8DD6-457A-A38C-2B00A9343B19}" autoFormatId="16" applyNumberFormats="0" applyBorderFormats="0" applyFontFormats="0" applyPatternFormats="0" applyAlignmentFormats="0" applyWidthHeightFormats="0">
  <queryTableRefresh nextId="141">
    <queryTableFields count="128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138" name="SAMPLE.NUMBER" tableColumnId="127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  <queryTableField id="137" name="Index" tableColumnId="126"/>
      <queryTableField id="139" name="Calculated_Sample_Number" tableColumnId="1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X15" tableType="queryTable" totalsRowShown="0">
  <autoFilter ref="A1:DX15" xr:uid="{86F13263-33C7-4F2E-8421-A29B3204617B}"/>
  <tableColumns count="128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127" xr3:uid="{1511F139-C93D-4BB6-898A-EDA023AF69B1}" uniqueName="127" name="SAMPLE.NUMBER" queryTableFieldId="1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9"/>
    <tableColumn id="71" xr3:uid="{B7D2BA06-4A34-4C68-8818-08707091BD51}" uniqueName="71" name="PARAMETER.LP.EV2" queryTableFieldId="71" dataDxfId="16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7"/>
    <tableColumn id="77" xr3:uid="{A31B4E8D-FF30-4350-8B36-F5A091FA8BE3}" uniqueName="77" name="PARAMETER.CHEMISTRY.ID" queryTableFieldId="77" dataDxfId="166"/>
    <tableColumn id="78" xr3:uid="{6447F090-92FC-4BF7-BB54-7062E3B51531}" uniqueName="78" name="PARAMETER.CHEMISTRY.MUFV" queryTableFieldId="78" dataDxfId="165"/>
    <tableColumn id="79" xr3:uid="{02A2CC25-5CAB-486D-B541-3DE6E66C39B0}" uniqueName="79" name="PARAMETER.CHEMISTRY.MUFV_PARAMETER" queryTableFieldId="79" dataDxfId="164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3"/>
    <tableColumn id="81" xr3:uid="{4EBADA30-0DF6-499D-AAF0-FC1167D25847}" uniqueName="81" name="PARAMETER.CHEMISTRY.KMF" queryTableFieldId="81" dataDxfId="162"/>
    <tableColumn id="82" xr3:uid="{3B561F5F-2D43-4067-8617-DECD7FB8EA51}" uniqueName="82" name="PARAMETER.CHEMISTRY.PAK" queryTableFieldId="82" dataDxfId="161"/>
    <tableColumn id="83" xr3:uid="{FFB29055-4A3C-457D-A460-0093ABBD6620}" uniqueName="83" name="PARAMETER.CHEMISTRY.PCB" queryTableFieldId="83" dataDxfId="160"/>
    <tableColumn id="84" xr3:uid="{223AB50A-7F5C-4434-976E-67A136FA6D2C}" uniqueName="84" name="PARAMETER.CHEMISTRY.BTEX" queryTableFieldId="84" dataDxfId="159"/>
    <tableColumn id="85" xr3:uid="{DF177C34-7768-423A-BBEE-CB2710E46706}" uniqueName="85" name="PARAMETER.CHEMISTRY.EOX" queryTableFieldId="85" dataDxfId="158"/>
    <tableColumn id="86" xr3:uid="{449C7574-6309-4508-9E06-DA2A5DDB239D}" uniqueName="86" name="PARAMETER.CHEMISTRY.PHENOLE" queryTableFieldId="86" dataDxfId="157"/>
    <tableColumn id="87" xr3:uid="{FA4D0C39-E96A-4B21-9448-CD88C1947C88}" uniqueName="87" name="PARAMETER.CHEMISTRY.ICP_SCREENING" queryTableFieldId="87" dataDxfId="156"/>
    <tableColumn id="88" xr3:uid="{5C31CD76-89C0-4772-832C-EDD96CAF2D7C}" uniqueName="88" name="PARAMETER.CHEMISTRY.MKW_C10_C22" queryTableFieldId="88" dataDxfId="155"/>
    <tableColumn id="89" xr3:uid="{6557DE6D-5F29-4CCB-BEAF-951520533AB7}" uniqueName="89" name="PARAMETER.CHEMISTRY.MKW_C10_C40" queryTableFieldId="89" dataDxfId="154"/>
    <tableColumn id="90" xr3:uid="{56DEE031-2DC4-466F-B6B3-6EFB4A114A06}" uniqueName="90" name="PARAMETER.CHEMISTRY.SULFAT" queryTableFieldId="90" dataDxfId="153"/>
    <tableColumn id="91" xr3:uid="{E331A1BC-B90C-48E4-84AA-6505E483F830}" uniqueName="91" name="PARAMETER.CHEMISTRY.ALTHOLZ_VERORDNUNG" queryTableFieldId="91" dataDxfId="152"/>
    <tableColumn id="92" xr3:uid="{664484A1-1F1D-4631-9229-FA2423019CF7}" uniqueName="92" name="PARAMETER.CHEMISTRY.FCKW" queryTableFieldId="92" dataDxfId="151"/>
    <tableColumn id="93" xr3:uid="{E9955DE5-8EE5-451C-B9B5-47B862F0EBF7}" uniqueName="93" name="PARAMETER.CHEMISTRY.HBCD" queryTableFieldId="93" dataDxfId="150"/>
    <tableColumn id="94" xr3:uid="{99A8AAEB-7F54-443A-9AE4-10239B7B5313}" uniqueName="94" name="PARAMETER.CHEMISTRY.LAGA_BO" queryTableFieldId="94" dataDxfId="149"/>
    <tableColumn id="95" xr3:uid="{40FC5D6C-62C6-452D-85D0-BF8E2B0CA64D}" uniqueName="95" name="PARAMETER.CHEMISTRY.LAGA_RC" queryTableFieldId="95" dataDxfId="148"/>
    <tableColumn id="96" xr3:uid="{5350E1CB-168D-43E2-8174-5307AB2F7FFF}" uniqueName="96" name="PARAMETER.CHEMISTRY.LAGA_RC_ORIENTIERUNGSWERT" queryTableFieldId="96" dataDxfId="147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6"/>
    <tableColumn id="98" xr3:uid="{725C7FEA-C159-432A-BBD3-F6031988605E}" uniqueName="98" name="PARAMETER.CHEMISTRY.DEPV" queryTableFieldId="98" dataDxfId="145"/>
    <tableColumn id="99" xr3:uid="{C4872AA8-2C00-433A-97CE-CA0243253F13}" uniqueName="99" name="PARAMETER.CHEMISTRY.ENTSCHEIDUNGSHILFE" queryTableFieldId="99" dataDxfId="144"/>
    <tableColumn id="100" xr3:uid="{4A15FF20-0E7F-4AFB-92FE-AE384507F846}" uniqueName="100" name="PARAMETER.CHEMISTRY.REKU" queryTableFieldId="100" dataDxfId="143"/>
    <tableColumn id="101" xr3:uid="{6DE305E5-8909-4015-B780-8B5EC1734EF0}" uniqueName="101" name="PARAMETER.CHEMISTRY.RUVA" queryTableFieldId="101" dataDxfId="14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0"/>
    <tableColumn id="118" xr3:uid="{3BFAA40F-A0BC-48BB-A998-3C0F59055FDF}" uniqueName="118" name="SAMPLE.ABFALLSCHLUESSEL_GEMISCH" queryTableFieldId="118" dataDxfId="139"/>
    <tableColumn id="126" xr3:uid="{B12FDD2A-566A-4B3B-870A-EEDAA49C45CC}" uniqueName="126" name="Index" queryTableFieldId="137"/>
    <tableColumn id="128" xr3:uid="{E37B5776-6708-4D56-B352-0E1A13387367}" uniqueName="128" name="Calculated_Sample_Number" queryTableField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8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7"/>
    <tableColumn id="26" xr3:uid="{FC97436C-64A0-41C8-B4BE-9C2242984A2A}" uniqueName="26" name="SAMPLE.ABFALLSCHLUESSEL_GEMISCH" queryTableFieldId="26" dataDxfId="136"/>
    <tableColumn id="27" xr3:uid="{FEC52FA2-705E-42CB-80EC-4928D5325B71}" uniqueName="27" name="PARAMETER.CHEMISTRY.ID" queryTableFieldId="27" dataDxfId="135"/>
    <tableColumn id="28" xr3:uid="{27A4E004-8EAD-421D-9AA3-CF721B6D9A83}" uniqueName="28" name="PARAMETER.CHEMISTRY.MUFV" queryTableFieldId="28" dataDxfId="134"/>
    <tableColumn id="29" xr3:uid="{93606AFB-108E-4FE1-895A-71BB6F3DF64F}" uniqueName="29" name="PARAMETER.CHEMISTRY.MUFV_PARAMETER" queryTableFieldId="29" dataDxfId="133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2"/>
    <tableColumn id="31" xr3:uid="{14D629DF-C709-4790-82B1-CF18C3C6D43E}" uniqueName="31" name="PARAMETER.CHEMISTRY.KMF" queryTableFieldId="31" dataDxfId="131"/>
    <tableColumn id="32" xr3:uid="{0F0061C7-0951-41B7-87CF-A6950CCB314E}" uniqueName="32" name="PARAMETER.CHEMISTRY.PAK" queryTableFieldId="32" dataDxfId="130"/>
    <tableColumn id="33" xr3:uid="{2F939509-A19C-4906-8FC2-BCF88B19BE05}" uniqueName="33" name="PARAMETER.CHEMISTRY.PCB" queryTableFieldId="33" dataDxfId="129"/>
    <tableColumn id="34" xr3:uid="{03BF367E-3FCF-4ECC-A100-B8012E65F100}" uniqueName="34" name="PARAMETER.CHEMISTRY.BTEX" queryTableFieldId="34" dataDxfId="128"/>
    <tableColumn id="35" xr3:uid="{BA3BECE2-FE5C-47CC-970C-F106E733A380}" uniqueName="35" name="PARAMETER.CHEMISTRY.EOX" queryTableFieldId="35" dataDxfId="127"/>
    <tableColumn id="36" xr3:uid="{629BC31F-3BD7-41C8-AEAB-17B0A80F2C92}" uniqueName="36" name="PARAMETER.CHEMISTRY.PHENOLE" queryTableFieldId="36" dataDxfId="126"/>
    <tableColumn id="37" xr3:uid="{68813B17-BB65-4926-BE6A-4716BE7DB98C}" uniqueName="37" name="PARAMETER.CHEMISTRY.ICP_SCREENING" queryTableFieldId="37" dataDxfId="125"/>
    <tableColumn id="38" xr3:uid="{EE16B3EF-DECD-42F8-890C-2C830D731663}" uniqueName="38" name="PARAMETER.CHEMISTRY.MKW_C10_C22" queryTableFieldId="38" dataDxfId="124"/>
    <tableColumn id="39" xr3:uid="{5ABF636F-5B8F-4034-8610-2DCB1D4E5DAB}" uniqueName="39" name="PARAMETER.CHEMISTRY.MKW_C10_C40" queryTableFieldId="39" dataDxfId="123"/>
    <tableColumn id="40" xr3:uid="{8B7F21F1-6D87-4C4E-843F-DEF943284D33}" uniqueName="40" name="PARAMETER.CHEMISTRY.SULFAT" queryTableFieldId="40" dataDxfId="122"/>
    <tableColumn id="41" xr3:uid="{4998777B-9E4E-4BC9-B317-43F694B0F669}" uniqueName="41" name="PARAMETER.CHEMISTRY.ALTHOLZ_VERORDNUNG" queryTableFieldId="41" dataDxfId="121"/>
    <tableColumn id="42" xr3:uid="{2FF936F5-EAC8-48B4-9AA7-737B3728B063}" uniqueName="42" name="PARAMETER.CHEMISTRY.FCKW" queryTableFieldId="42" dataDxfId="120"/>
    <tableColumn id="43" xr3:uid="{FDFBEC0C-E165-43F8-9120-B73BD468C297}" uniqueName="43" name="PARAMETER.CHEMISTRY.HBCD" queryTableFieldId="43" dataDxfId="119"/>
    <tableColumn id="44" xr3:uid="{43420AA0-A5F4-4F3B-8341-DC45675A9502}" uniqueName="44" name="PARAMETER.CHEMISTRY.LAGA_BO" queryTableFieldId="44" dataDxfId="118"/>
    <tableColumn id="45" xr3:uid="{58F1740F-4C9F-431F-9219-439DD02CECC4}" uniqueName="45" name="PARAMETER.CHEMISTRY.LAGA_RC" queryTableFieldId="45" dataDxfId="117"/>
    <tableColumn id="46" xr3:uid="{60A31DD1-B933-49AA-B154-8C44FA3D3F2F}" uniqueName="46" name="PARAMETER.CHEMISTRY.LAGA_RC_ORIENTIERUNGSWERT" queryTableFieldId="46" dataDxfId="116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5"/>
    <tableColumn id="48" xr3:uid="{1639B7A6-5F78-42FC-A430-E662E0FF3BEE}" uniqueName="48" name="PARAMETER.CHEMISTRY.DEPV" queryTableFieldId="48" dataDxfId="114"/>
    <tableColumn id="49" xr3:uid="{6B10F78D-E8F9-41E6-B732-58683EAA26B4}" uniqueName="49" name="PARAMETER.CHEMISTRY.ENTSCHEIDUNGSHILFE" queryTableFieldId="49" dataDxfId="113"/>
    <tableColumn id="50" xr3:uid="{8E2DB51E-5F76-470A-A87D-FB1FE1BEEC83}" uniqueName="50" name="PARAMETER.CHEMISTRY.REKU" queryTableFieldId="50" dataDxfId="112"/>
    <tableColumn id="51" xr3:uid="{C4DE7668-10FF-47BD-8618-85556FE90926}" uniqueName="51" name="PARAMETER.CHEMISTRY.RUVA" queryTableFieldId="51" dataDxfId="111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9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8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7"/>
    <tableColumn id="27" xr3:uid="{902891BF-4C44-4429-AE57-3AAD8935F399}" uniqueName="27" name="PARAMETER.CHEMISTRY.MUFV" queryTableFieldId="27" dataDxfId="106"/>
    <tableColumn id="28" xr3:uid="{0163579B-8675-4915-B82E-5DDFFC21F068}" uniqueName="28" name="PARAMETER.CHEMISTRY.MUFV_PARAMETER" queryTableFieldId="28" dataDxfId="105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4"/>
    <tableColumn id="30" xr3:uid="{71C9984E-D894-44FC-9976-9D93D2D21604}" uniqueName="30" name="PARAMETER.CHEMISTRY.KMF" queryTableFieldId="30" dataDxfId="103"/>
    <tableColumn id="31" xr3:uid="{8B4C8DA6-6572-4699-A05F-09F5E4C19362}" uniqueName="31" name="PARAMETER.CHEMISTRY.PAK" queryTableFieldId="31" dataDxfId="102"/>
    <tableColumn id="32" xr3:uid="{B9B85D41-AFCE-4533-B5E6-24125385408D}" uniqueName="32" name="PARAMETER.CHEMISTRY.PCB" queryTableFieldId="32" dataDxfId="101"/>
    <tableColumn id="33" xr3:uid="{F4507179-85F8-426A-A8E6-400631C082EF}" uniqueName="33" name="PARAMETER.CHEMISTRY.BTEX" queryTableFieldId="33" dataDxfId="100"/>
    <tableColumn id="34" xr3:uid="{F3FA9695-3EFB-421B-9F14-E940B7BAEE97}" uniqueName="34" name="PARAMETER.CHEMISTRY.EOX" queryTableFieldId="34" dataDxfId="99"/>
    <tableColumn id="35" xr3:uid="{CA6C8245-C111-46C2-9973-26638FB0340B}" uniqueName="35" name="PARAMETER.CHEMISTRY.PHENOLE" queryTableFieldId="35" dataDxfId="98"/>
    <tableColumn id="36" xr3:uid="{55CE9F12-B661-4590-8250-B3BFBF790071}" uniqueName="36" name="PARAMETER.CHEMISTRY.ICP_SCREENING" queryTableFieldId="36" dataDxfId="97"/>
    <tableColumn id="37" xr3:uid="{D164A852-28EB-4196-B9BD-1F98D08D34C5}" uniqueName="37" name="PARAMETER.CHEMISTRY.MKW_C10_C22" queryTableFieldId="37" dataDxfId="96"/>
    <tableColumn id="38" xr3:uid="{297CC18C-733C-440E-806A-C6A285362C3F}" uniqueName="38" name="PARAMETER.CHEMISTRY.MKW_C10_C40" queryTableFieldId="38" dataDxfId="95"/>
    <tableColumn id="39" xr3:uid="{080E079B-0396-48D3-8E4D-F432AA3CE2B6}" uniqueName="39" name="PARAMETER.CHEMISTRY.SULFAT" queryTableFieldId="39" dataDxfId="94"/>
    <tableColumn id="40" xr3:uid="{0F406AE1-339B-449F-B1B8-F8BDD57E1A1E}" uniqueName="40" name="PARAMETER.CHEMISTRY.ALTHOLZ_VERORDNUNG" queryTableFieldId="40" dataDxfId="93"/>
    <tableColumn id="41" xr3:uid="{4F984E01-9D95-4FF1-A5E7-7AFCE5900571}" uniqueName="41" name="PARAMETER.CHEMISTRY.FCKW" queryTableFieldId="41" dataDxfId="92"/>
    <tableColumn id="42" xr3:uid="{CD504F65-4317-4929-A9B0-3E95534C4D14}" uniqueName="42" name="PARAMETER.CHEMISTRY.HBCD" queryTableFieldId="42" dataDxfId="91"/>
    <tableColumn id="43" xr3:uid="{EBC9A661-FC40-4D4E-9852-FCCDDB64CEFE}" uniqueName="43" name="PARAMETER.CHEMISTRY.LAGA_BO" queryTableFieldId="43" dataDxfId="90"/>
    <tableColumn id="44" xr3:uid="{87F8EBEA-4032-4611-B364-574506B13F1D}" uniqueName="44" name="PARAMETER.CHEMISTRY.LAGA_RC" queryTableFieldId="44" dataDxfId="89"/>
    <tableColumn id="45" xr3:uid="{D1FA07D6-1F78-4552-AAC1-A43F8A241C15}" uniqueName="45" name="PARAMETER.CHEMISTRY.LAGA_RC_ORIENTIERUNGSWERT" queryTableFieldId="45" dataDxfId="88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7"/>
    <tableColumn id="47" xr3:uid="{61C447EC-A975-407A-AC35-08B9EBA86685}" uniqueName="47" name="PARAMETER.CHEMISTRY.DEPV" queryTableFieldId="47" dataDxfId="86"/>
    <tableColumn id="48" xr3:uid="{C658E730-A7C7-4CE8-ABF0-9884889D6E2C}" uniqueName="48" name="PARAMETER.CHEMISTRY.ENTSCHEIDUNGSHILFE" queryTableFieldId="48" dataDxfId="85"/>
    <tableColumn id="49" xr3:uid="{0E2F03C5-E7E3-4E58-95F2-1B5CCF153376}" uniqueName="49" name="PARAMETER.CHEMISTRY.REKU" queryTableFieldId="49" dataDxfId="84"/>
    <tableColumn id="50" xr3:uid="{D490B33E-7ED1-4745-AFE3-BC2A63A7AA99}" uniqueName="50" name="PARAMETER.CHEMISTRY.RUVA" queryTableFieldId="50" dataDxfId="83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11" tableType="queryTable" totalsRowShown="0">
  <autoFilter ref="A1:DE11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1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9"/>
    <tableColumn id="71" xr3:uid="{B2B0DC0A-4F06-4037-BF53-4869770EDC23}" uniqueName="71" name="PARAMETER.LP.EV2" queryTableFieldId="71" dataDxfId="78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7"/>
    <tableColumn id="77" xr3:uid="{BE683E9B-8FDA-40E0-9D5F-6DE1618EE920}" uniqueName="77" name="PARAMETER.CHEMISTRY.ID" queryTableFieldId="77" dataDxfId="76"/>
    <tableColumn id="78" xr3:uid="{49EFDBAC-19CC-4661-B008-77A9DBA07868}" uniqueName="78" name="PARAMETER.CHEMISTRY.MUFV" queryTableFieldId="78" dataDxfId="75"/>
    <tableColumn id="79" xr3:uid="{0715B054-3D90-4ECF-B353-252F004A4F5B}" uniqueName="79" name="PARAMETER.CHEMISTRY.MUFV_PARAMETER" queryTableFieldId="79" dataDxfId="74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3"/>
    <tableColumn id="81" xr3:uid="{62A408EB-C7AA-45EB-8EF4-A2E1ECC4C3CC}" uniqueName="81" name="PARAMETER.CHEMISTRY.KMF" queryTableFieldId="81" dataDxfId="72"/>
    <tableColumn id="82" xr3:uid="{62ED9188-F645-41A3-88F0-129B28CEF72F}" uniqueName="82" name="PARAMETER.CHEMISTRY.PAK" queryTableFieldId="82" dataDxfId="71"/>
    <tableColumn id="83" xr3:uid="{19B27EF8-A549-4C1F-9B42-9D430FCAFDFD}" uniqueName="83" name="PARAMETER.CHEMISTRY.PCB" queryTableFieldId="83" dataDxfId="70"/>
    <tableColumn id="84" xr3:uid="{408F9534-9EE6-4547-B5B1-2FBF85B7945F}" uniqueName="84" name="PARAMETER.CHEMISTRY.BTEX" queryTableFieldId="84" dataDxfId="69"/>
    <tableColumn id="85" xr3:uid="{F57E53A5-8FAA-486C-B91D-D459D982FF1A}" uniqueName="85" name="PARAMETER.CHEMISTRY.EOX" queryTableFieldId="85" dataDxfId="68"/>
    <tableColumn id="86" xr3:uid="{D5193380-2EA0-4671-B593-292D080CD9AF}" uniqueName="86" name="PARAMETER.CHEMISTRY.PHENOLE" queryTableFieldId="86" dataDxfId="67"/>
    <tableColumn id="87" xr3:uid="{70FBACBD-54B9-4FF4-98E6-304083C2881B}" uniqueName="87" name="PARAMETER.CHEMISTRY.ICP_SCREENING" queryTableFieldId="87" dataDxfId="66"/>
    <tableColumn id="88" xr3:uid="{8DC2F49B-FB91-43C4-B144-9D71FD8DE9DA}" uniqueName="88" name="PARAMETER.CHEMISTRY.MKW_C10_C22" queryTableFieldId="88" dataDxfId="65"/>
    <tableColumn id="89" xr3:uid="{8C619B32-F2ED-4154-A971-E54C0533BE46}" uniqueName="89" name="PARAMETER.CHEMISTRY.MKW_C10_C40" queryTableFieldId="89" dataDxfId="64"/>
    <tableColumn id="90" xr3:uid="{CBEF3DD2-C9EF-49A2-84C8-2AED4407ED4B}" uniqueName="90" name="PARAMETER.CHEMISTRY.SULFAT" queryTableFieldId="90" dataDxfId="63"/>
    <tableColumn id="91" xr3:uid="{FEA55896-E766-49D4-90F2-914EEDCB0AB2}" uniqueName="91" name="PARAMETER.CHEMISTRY.ALTHOLZ_VERORDNUNG" queryTableFieldId="91" dataDxfId="62"/>
    <tableColumn id="92" xr3:uid="{E7F2BD8B-E27A-4B4F-8A49-93F8BD7D18A0}" uniqueName="92" name="PARAMETER.CHEMISTRY.FCKW" queryTableFieldId="92" dataDxfId="61"/>
    <tableColumn id="93" xr3:uid="{816AEC63-0DEE-4627-8FC7-0E38BBD3281A}" uniqueName="93" name="PARAMETER.CHEMISTRY.HBCD" queryTableFieldId="93" dataDxfId="60"/>
    <tableColumn id="94" xr3:uid="{5D8D0448-FD28-4E36-B3BC-27D314DF815B}" uniqueName="94" name="PARAMETER.CHEMISTRY.LAGA_BO" queryTableFieldId="94" dataDxfId="59"/>
    <tableColumn id="95" xr3:uid="{B9F3D638-C332-49F7-8927-86D91BAC52D8}" uniqueName="95" name="PARAMETER.CHEMISTRY.LAGA_RC" queryTableFieldId="95" dataDxfId="58"/>
    <tableColumn id="96" xr3:uid="{732D813B-F681-4A3D-9F90-E49CDE81F912}" uniqueName="96" name="PARAMETER.CHEMISTRY.LAGA_RC_ORIENTIERUNGSWERT" queryTableFieldId="96" dataDxfId="57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6"/>
    <tableColumn id="98" xr3:uid="{16CD09D6-B40B-4446-A277-4972A7E14642}" uniqueName="98" name="PARAMETER.CHEMISTRY.DEPV" queryTableFieldId="98" dataDxfId="55"/>
    <tableColumn id="99" xr3:uid="{26DD249C-F520-4939-A0C4-C280C03D0BAE}" uniqueName="99" name="PARAMETER.CHEMISTRY.ENTSCHEIDUNGSHILFE" queryTableFieldId="99" dataDxfId="54"/>
    <tableColumn id="100" xr3:uid="{43436799-932D-409B-93DB-A33E627D925B}" uniqueName="100" name="PARAMETER.CHEMISTRY.REKU" queryTableFieldId="100" dataDxfId="53"/>
    <tableColumn id="101" xr3:uid="{4D536224-BE38-42C2-B331-302398CC0060}" uniqueName="101" name="PARAMETER.CHEMISTRY.RUVA" queryTableFieldId="101" dataDxfId="52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0">
  <autoFilter ref="A2:AE5" xr:uid="{5055F3DA-5118-49AB-94C1-988D940BAC5E}"/>
  <tableColumns count="31">
    <tableColumn id="1" xr3:uid="{CF3E7D7D-2184-43F7-AD26-A5C5DC2DBC0C}" name="ID" dataDxfId="49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8">
  <autoFilter ref="A1:E3" xr:uid="{10D35800-9D67-48C4-AD9A-6C0A5709A897}"/>
  <tableColumns count="5">
    <tableColumn id="1" xr3:uid="{8939B6B1-95AF-4C73-877C-EF82136B8050}" name="ID" dataDxfId="47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6"/>
    <tableColumn id="5" xr3:uid="{604BCDB4-4194-4641-B9F8-A66053B7508B}" name="&gt; 77°C" dataDxfId="45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4">
  <autoFilter ref="A1:K2" xr:uid="{C5B5D589-DA93-4F14-A4A4-7B60407AADCF}"/>
  <tableColumns count="11">
    <tableColumn id="1" xr3:uid="{4F88403B-0C27-4180-BCBE-62627665E7D8}" name="ID" dataDxfId="43">
      <calculatedColumnFormula>"LP"&amp;ROW()-1</calculatedColumnFormula>
    </tableColumn>
    <tableColumn id="2" xr3:uid="{51F153C6-5FF1-44FD-B39F-464F5777D26F}" name="NUMMER" dataDxfId="42">
      <calculatedColumnFormula>ROW()-1</calculatedColumnFormula>
    </tableColumn>
    <tableColumn id="3" xr3:uid="{D635D0C6-EC46-4499-87D8-E68BA2217AC3}" name="WERT_1" dataDxfId="41"/>
    <tableColumn id="4" xr3:uid="{EB4DDFA1-C89E-49B6-A6D9-3E4EE912B328}" name="WERT_2" dataDxfId="40"/>
    <tableColumn id="5" xr3:uid="{675180B4-A186-4E41-9A3F-809597A2D137}" name="WERT_3" dataDxfId="39"/>
    <tableColumn id="6" xr3:uid="{1BCD8931-601C-4036-97BE-6890E0BB8E1A}" name="MITTELWERT" dataDxfId="38">
      <calculatedColumnFormula>IFERROR(AVERAGE(Lp.Table[[#This Row],[WERT_1]:[WERT_3]]),"")</calculatedColumnFormula>
    </tableColumn>
    <tableColumn id="7" xr3:uid="{E52EA34C-9206-4F8E-ADA8-4882EB8536D2}" name="EV" dataDxfId="37">
      <calculatedColumnFormula>IFERROR(ROUND(22.5/Lp.Table[[#This Row],[MITTELWERT]],1),"")</calculatedColumnFormula>
    </tableColumn>
    <tableColumn id="8" xr3:uid="{F82604BB-DC28-42BD-A51D-F8A987DCA29B}" name="EV85" dataDxfId="36">
      <calculatedColumnFormula>IFERROR(ROUND(Lp.Table[[#This Row],[EV]]*0.85,0),"")</calculatedColumnFormula>
    </tableColumn>
    <tableColumn id="9" xr3:uid="{DAF46846-3846-48E2-BAD5-98185ED0BC6A}" name="EV2" dataDxfId="35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4">
      <calculatedColumnFormula>IF(Lp.Table[[#This Row],[EV2]] &lt;&gt; "",120,"")</calculatedColumnFormula>
    </tableColumn>
    <tableColumn id="11" xr3:uid="{FFEF742E-6D94-4903-BE7F-CF0FBE8E4806}" name="Bewertung" dataDxfId="33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2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1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0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9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8"/>
    <tableColumn id="15" xr3:uid="{005F580A-41C6-4E6E-B207-2405CF08B91D}" name="BELASTUNGSKLASSE_TAFEL" dataDxfId="27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12" totalsRowShown="0" headerRowDxfId="26">
  <autoFilter ref="A2:AE12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0">
      <calculatedColumnFormula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4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3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2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1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2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9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8">
      <calculatedColumnFormula>"HAUFWERK"</calculatedColumnFormula>
    </tableColumn>
    <tableColumn id="6" xr3:uid="{1586FA36-B4DE-4684-9D6E-C35C26DEC2A1}" name="ART"/>
    <tableColumn id="20" xr3:uid="{E39EAB2A-0B3D-4A23-B43E-208E3AAE3017}" name="KOERNUNG" dataDxfId="17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6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5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4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13">
      <calculatedColumnFormula>"BUILDING"</calculatedColumnFormula>
    </tableColumn>
    <tableColumn id="2" xr3:uid="{3EEAA087-E8CD-44B3-8DF7-FA0EE5A08610}" name="NUMMER"/>
    <tableColumn id="3" xr3:uid="{A368117F-57A6-414D-A93E-3A6BD44DE902}" name="DATUM" dataDxfId="12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1" headerRowBorderDxfId="10" tableBorderDxfId="9">
  <autoFilter ref="A1:P3" xr:uid="{3730A37C-629E-4550-A01C-455CDD4A615A}"/>
  <tableColumns count="16">
    <tableColumn id="16" xr3:uid="{54D7B85E-0AC3-4C06-8F98-2D052592AE14}" name="ID" dataDxfId="8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7">
      <calculatedColumnFormula>"LAYER"</calculatedColumnFormula>
    </tableColumn>
    <tableColumn id="4" xr3:uid="{E42478A1-49FD-48AB-BAA7-1896B69635A5}" name="NUMMER"/>
    <tableColumn id="5" xr3:uid="{63C7892F-F854-491A-96AB-FE7C93927D92}" name="AUFSCHLUSS" dataDxfId="6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5">
      <calculatedColumnFormula>Gebaeude.Sample.Table[[#This Row],[TIEFE_ENDE]]-Gebaeude.Sample.Table[[#This Row],[DICKE]]</calculatedColumnFormula>
    </tableColumn>
    <tableColumn id="10" xr3:uid="{5CBF7A6E-AC07-4534-A77E-5433494D3ACF}" name="TIEFE_ENDE" dataDxfId="4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I101" totalsRowShown="0" headerRowDxfId="3">
  <autoFilter ref="A1:AI101" xr:uid="{EFD0083F-CDF8-4639-9882-57C0D2FD2BE9}"/>
  <tableColumns count="35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2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1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X15"/>
  <sheetViews>
    <sheetView topLeftCell="AJ1" zoomScale="149" workbookViewId="0">
      <selection activeCell="AP6" sqref="AP6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19.140625" bestFit="1" customWidth="1"/>
    <col min="42" max="42" width="22.5703125" bestFit="1" customWidth="1"/>
    <col min="43" max="43" width="14.42578125" bestFit="1" customWidth="1"/>
    <col min="44" max="44" width="21.5703125" bestFit="1" customWidth="1"/>
    <col min="45" max="45" width="23.85546875" bestFit="1" customWidth="1"/>
    <col min="46" max="46" width="16.140625" bestFit="1" customWidth="1"/>
    <col min="47" max="47" width="22.140625" bestFit="1" customWidth="1"/>
    <col min="48" max="48" width="21.42578125" bestFit="1" customWidth="1"/>
    <col min="49" max="49" width="15.5703125" bestFit="1" customWidth="1"/>
    <col min="50" max="50" width="40.140625" bestFit="1" customWidth="1"/>
    <col min="51" max="51" width="16.5703125" bestFit="1" customWidth="1"/>
    <col min="52" max="52" width="20.85546875" bestFit="1" customWidth="1"/>
    <col min="53" max="53" width="22.140625" bestFit="1" customWidth="1"/>
    <col min="54" max="54" width="23.85546875" bestFit="1" customWidth="1"/>
    <col min="55" max="55" width="25.5703125" bestFit="1" customWidth="1"/>
    <col min="56" max="56" width="27.140625" bestFit="1" customWidth="1"/>
    <col min="57" max="57" width="16.42578125" bestFit="1" customWidth="1"/>
    <col min="58" max="58" width="21.7109375" bestFit="1" customWidth="1"/>
    <col min="59" max="59" width="21" bestFit="1" customWidth="1"/>
    <col min="60" max="60" width="18.5703125" bestFit="1" customWidth="1"/>
    <col min="61" max="61" width="37.28515625" bestFit="1" customWidth="1"/>
    <col min="62" max="62" width="27.140625" bestFit="1" customWidth="1"/>
    <col min="63" max="63" width="40.42578125" bestFit="1" customWidth="1"/>
    <col min="64" max="64" width="35.85546875" bestFit="1" customWidth="1"/>
    <col min="65" max="65" width="28.42578125" bestFit="1" customWidth="1"/>
    <col min="66" max="66" width="19.28515625" bestFit="1" customWidth="1"/>
    <col min="67" max="67" width="26.28515625" bestFit="1" customWidth="1"/>
    <col min="68" max="69" width="24.7109375" bestFit="1" customWidth="1"/>
    <col min="70" max="70" width="24.7109375" style="5" bestFit="1" customWidth="1"/>
    <col min="71" max="71" width="29.140625" style="5" bestFit="1" customWidth="1"/>
    <col min="72" max="72" width="19.7109375" bestFit="1" customWidth="1"/>
    <col min="73" max="73" width="21.7109375" bestFit="1" customWidth="1"/>
    <col min="74" max="74" width="20.7109375" bestFit="1" customWidth="1"/>
    <col min="75" max="75" width="26" bestFit="1" customWidth="1"/>
    <col min="76" max="76" width="21" style="3" bestFit="1" customWidth="1"/>
    <col min="77" max="77" width="28" bestFit="1" customWidth="1"/>
    <col min="78" max="78" width="30.140625" bestFit="1" customWidth="1"/>
    <col min="79" max="79" width="24.42578125" bestFit="1" customWidth="1"/>
    <col min="80" max="80" width="27.5703125" bestFit="1" customWidth="1"/>
    <col min="81" max="81" width="31.42578125" bestFit="1" customWidth="1"/>
    <col min="82" max="82" width="43.5703125" bestFit="1" customWidth="1"/>
    <col min="83" max="83" width="33.140625" bestFit="1" customWidth="1"/>
    <col min="84" max="84" width="32.28515625" bestFit="1" customWidth="1"/>
    <col min="85" max="85" width="29.85546875" bestFit="1" customWidth="1"/>
    <col min="86" max="86" width="29.42578125" bestFit="1" customWidth="1"/>
    <col min="87" max="87" width="29.28515625" bestFit="1" customWidth="1"/>
    <col min="88" max="88" width="30.140625" bestFit="1" customWidth="1"/>
    <col min="89" max="89" width="29.42578125" bestFit="1" customWidth="1"/>
    <col min="90" max="90" width="34.140625" bestFit="1" customWidth="1"/>
    <col min="91" max="91" width="40.140625" bestFit="1" customWidth="1"/>
    <col min="92" max="93" width="39.42578125" bestFit="1" customWidth="1"/>
    <col min="94" max="94" width="32.42578125" bestFit="1" customWidth="1"/>
    <col min="95" max="95" width="48" bestFit="1" customWidth="1"/>
    <col min="96" max="96" width="31.140625" bestFit="1" customWidth="1"/>
    <col min="97" max="97" width="30.7109375" bestFit="1" customWidth="1"/>
    <col min="98" max="98" width="34.42578125" bestFit="1" customWidth="1"/>
    <col min="99" max="99" width="34.140625" bestFit="1" customWidth="1"/>
    <col min="100" max="100" width="55.42578125" bestFit="1" customWidth="1"/>
    <col min="101" max="101" width="36.7109375" bestFit="1" customWidth="1"/>
    <col min="102" max="102" width="41.28515625" bestFit="1" customWidth="1"/>
    <col min="103" max="103" width="52.7109375" bestFit="1" customWidth="1"/>
    <col min="104" max="104" width="36.28515625" bestFit="1" customWidth="1"/>
    <col min="105" max="105" width="30.5703125" bestFit="1" customWidth="1"/>
    <col min="106" max="106" width="46" bestFit="1" customWidth="1"/>
    <col min="107" max="107" width="30.5703125" bestFit="1" customWidth="1"/>
    <col min="108" max="108" width="31" bestFit="1" customWidth="1"/>
    <col min="109" max="109" width="43.140625" bestFit="1" customWidth="1"/>
    <col min="110" max="110" width="28.7109375" bestFit="1" customWidth="1"/>
    <col min="111" max="111" width="20.42578125" bestFit="1" customWidth="1"/>
    <col min="112" max="112" width="18.42578125" bestFit="1" customWidth="1"/>
    <col min="113" max="113" width="17" bestFit="1" customWidth="1"/>
    <col min="114" max="114" width="27.7109375" bestFit="1" customWidth="1"/>
    <col min="115" max="115" width="17.140625" bestFit="1" customWidth="1"/>
    <col min="116" max="116" width="26" bestFit="1" customWidth="1"/>
    <col min="117" max="117" width="19.42578125" bestFit="1" customWidth="1"/>
    <col min="118" max="119" width="15.42578125" bestFit="1" customWidth="1"/>
    <col min="120" max="121" width="20.140625" bestFit="1" customWidth="1"/>
    <col min="122" max="122" width="21.42578125" bestFit="1" customWidth="1"/>
    <col min="123" max="123" width="31.140625" bestFit="1" customWidth="1"/>
    <col min="124" max="124" width="32.28515625" bestFit="1" customWidth="1"/>
    <col min="125" max="125" width="38.5703125" bestFit="1" customWidth="1"/>
    <col min="126" max="126" width="37.85546875" bestFit="1" customWidth="1"/>
    <col min="127" max="127" width="8.28515625" bestFit="1" customWidth="1"/>
    <col min="128" max="128" width="28.85546875" bestFit="1" customWidth="1"/>
    <col min="129" max="129" width="37.85546875" customWidth="1"/>
    <col min="130" max="130" width="38.140625" customWidth="1"/>
  </cols>
  <sheetData>
    <row r="1" spans="1:12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578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306</v>
      </c>
      <c r="BU1" s="5" t="s">
        <v>307</v>
      </c>
      <c r="BV1" s="5" t="s">
        <v>308</v>
      </c>
      <c r="BW1" t="s">
        <v>309</v>
      </c>
      <c r="BX1" t="s">
        <v>28</v>
      </c>
      <c r="BY1" t="s">
        <v>170</v>
      </c>
      <c r="BZ1" t="s">
        <v>171</v>
      </c>
      <c r="CA1" s="3" t="s">
        <v>172</v>
      </c>
      <c r="CB1" t="s">
        <v>26</v>
      </c>
      <c r="CC1" t="s">
        <v>153</v>
      </c>
      <c r="CD1" t="s">
        <v>154</v>
      </c>
      <c r="CE1" t="s">
        <v>491</v>
      </c>
      <c r="CF1" t="s">
        <v>162</v>
      </c>
      <c r="CG1" t="s">
        <v>181</v>
      </c>
      <c r="CH1" t="s">
        <v>182</v>
      </c>
      <c r="CI1" t="s">
        <v>163</v>
      </c>
      <c r="CJ1" t="s">
        <v>164</v>
      </c>
      <c r="CK1" t="s">
        <v>178</v>
      </c>
      <c r="CL1" t="s">
        <v>335</v>
      </c>
      <c r="CM1" t="s">
        <v>179</v>
      </c>
      <c r="CN1" t="s">
        <v>439</v>
      </c>
      <c r="CO1" t="s">
        <v>440</v>
      </c>
      <c r="CP1" t="s">
        <v>180</v>
      </c>
      <c r="CQ1" t="s">
        <v>183</v>
      </c>
      <c r="CR1" t="s">
        <v>435</v>
      </c>
      <c r="CS1" t="s">
        <v>436</v>
      </c>
      <c r="CT1" t="s">
        <v>156</v>
      </c>
      <c r="CU1" t="s">
        <v>157</v>
      </c>
      <c r="CV1" t="s">
        <v>334</v>
      </c>
      <c r="CW1" t="s">
        <v>486</v>
      </c>
      <c r="CX1" t="s">
        <v>487</v>
      </c>
      <c r="CY1" t="s">
        <v>488</v>
      </c>
      <c r="CZ1" t="s">
        <v>158</v>
      </c>
      <c r="DA1" t="s">
        <v>159</v>
      </c>
      <c r="DB1" t="s">
        <v>160</v>
      </c>
      <c r="DC1" t="s">
        <v>161</v>
      </c>
      <c r="DD1" t="s">
        <v>352</v>
      </c>
      <c r="DE1" t="s">
        <v>455</v>
      </c>
      <c r="DF1" t="s">
        <v>155</v>
      </c>
      <c r="DG1" t="s">
        <v>148</v>
      </c>
      <c r="DH1" t="s">
        <v>149</v>
      </c>
      <c r="DI1" t="s">
        <v>18</v>
      </c>
      <c r="DJ1" t="s">
        <v>69</v>
      </c>
      <c r="DK1" t="s">
        <v>70</v>
      </c>
      <c r="DL1" t="s">
        <v>71</v>
      </c>
      <c r="DM1" t="s">
        <v>305</v>
      </c>
      <c r="DN1" t="s">
        <v>72</v>
      </c>
      <c r="DO1" t="s">
        <v>73</v>
      </c>
      <c r="DP1" t="s">
        <v>74</v>
      </c>
      <c r="DQ1" t="s">
        <v>147</v>
      </c>
      <c r="DR1" t="s">
        <v>150</v>
      </c>
      <c r="DS1" t="s">
        <v>434</v>
      </c>
      <c r="DT1" t="s">
        <v>151</v>
      </c>
      <c r="DU1" t="s">
        <v>152</v>
      </c>
      <c r="DV1" t="s">
        <v>302</v>
      </c>
      <c r="DW1" t="s">
        <v>577</v>
      </c>
      <c r="DX1" t="s">
        <v>579</v>
      </c>
    </row>
    <row r="2" spans="1:128" x14ac:dyDescent="0.25">
      <c r="A2" t="s">
        <v>0</v>
      </c>
      <c r="B2" t="s">
        <v>464</v>
      </c>
      <c r="C2">
        <v>1</v>
      </c>
      <c r="D2" t="s">
        <v>475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453</v>
      </c>
      <c r="AI2" t="s">
        <v>0</v>
      </c>
      <c r="AJ2" t="s">
        <v>343</v>
      </c>
      <c r="AK2" t="s">
        <v>468</v>
      </c>
      <c r="AL2" t="s">
        <v>469</v>
      </c>
      <c r="AM2" t="s">
        <v>460</v>
      </c>
      <c r="AN2">
        <v>1</v>
      </c>
      <c r="AO2" t="s">
        <v>580</v>
      </c>
      <c r="AP2" t="s">
        <v>190</v>
      </c>
      <c r="AQ2" t="s">
        <v>189</v>
      </c>
      <c r="AR2" t="s">
        <v>311</v>
      </c>
      <c r="AT2">
        <v>12</v>
      </c>
      <c r="AU2">
        <v>0</v>
      </c>
      <c r="AV2">
        <v>12</v>
      </c>
      <c r="AW2" t="s">
        <v>220</v>
      </c>
      <c r="AX2" t="s">
        <v>216</v>
      </c>
      <c r="AY2" t="s">
        <v>449</v>
      </c>
      <c r="AZ2" t="s">
        <v>217</v>
      </c>
      <c r="BA2" t="s">
        <v>218</v>
      </c>
      <c r="BB2" t="s">
        <v>219</v>
      </c>
      <c r="BC2">
        <v>1</v>
      </c>
      <c r="BD2">
        <v>1</v>
      </c>
      <c r="BG2" t="s">
        <v>303</v>
      </c>
      <c r="BH2" t="s">
        <v>403</v>
      </c>
      <c r="BI2">
        <v>1</v>
      </c>
      <c r="BJ2" t="s">
        <v>450</v>
      </c>
      <c r="BK2" t="s">
        <v>450</v>
      </c>
      <c r="BL2" t="s">
        <v>220</v>
      </c>
      <c r="BM2" t="s">
        <v>450</v>
      </c>
      <c r="BN2" t="s">
        <v>469</v>
      </c>
      <c r="BO2">
        <v>1</v>
      </c>
      <c r="BP2">
        <v>0.42</v>
      </c>
      <c r="BQ2">
        <v>0.39</v>
      </c>
      <c r="BR2">
        <v>0.39</v>
      </c>
      <c r="BS2">
        <v>0.4</v>
      </c>
      <c r="BT2">
        <v>56.3</v>
      </c>
      <c r="BU2" s="5">
        <v>48</v>
      </c>
      <c r="BV2" s="5">
        <v>87</v>
      </c>
      <c r="BW2">
        <v>120</v>
      </c>
      <c r="BX2" t="s">
        <v>468</v>
      </c>
      <c r="BY2">
        <v>1</v>
      </c>
      <c r="BZ2" t="s">
        <v>6</v>
      </c>
      <c r="CA2" s="3">
        <v>77</v>
      </c>
      <c r="CB2" t="s">
        <v>343</v>
      </c>
      <c r="CC2" t="s">
        <v>4</v>
      </c>
      <c r="CW2" t="s">
        <v>484</v>
      </c>
      <c r="DW2">
        <v>1</v>
      </c>
      <c r="DX2">
        <v>1</v>
      </c>
    </row>
    <row r="3" spans="1:128" x14ac:dyDescent="0.25">
      <c r="A3" t="s">
        <v>0</v>
      </c>
      <c r="B3" t="s">
        <v>464</v>
      </c>
      <c r="C3">
        <v>1</v>
      </c>
      <c r="D3" t="s">
        <v>475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580</v>
      </c>
      <c r="AP3" t="s">
        <v>190</v>
      </c>
      <c r="AQ3" t="s">
        <v>189</v>
      </c>
      <c r="AR3" t="s">
        <v>311</v>
      </c>
      <c r="AT3">
        <v>3</v>
      </c>
      <c r="AU3">
        <v>12</v>
      </c>
      <c r="AV3">
        <v>15</v>
      </c>
      <c r="AW3" t="s">
        <v>191</v>
      </c>
      <c r="AX3" t="s">
        <v>233</v>
      </c>
      <c r="AY3" t="s">
        <v>442</v>
      </c>
      <c r="AZ3" t="s">
        <v>234</v>
      </c>
      <c r="BA3" t="s">
        <v>235</v>
      </c>
      <c r="BB3" t="s">
        <v>236</v>
      </c>
      <c r="BC3">
        <v>2</v>
      </c>
      <c r="BD3">
        <v>2</v>
      </c>
      <c r="BG3" t="s">
        <v>448</v>
      </c>
      <c r="BH3" t="s">
        <v>304</v>
      </c>
      <c r="BI3">
        <v>2</v>
      </c>
      <c r="BJ3" t="s">
        <v>451</v>
      </c>
      <c r="BK3" t="s">
        <v>451</v>
      </c>
      <c r="BL3" t="s">
        <v>191</v>
      </c>
      <c r="BM3" t="s">
        <v>451</v>
      </c>
      <c r="BR3"/>
      <c r="BS3"/>
      <c r="BU3" s="5"/>
      <c r="BV3" s="5"/>
      <c r="BX3" t="s">
        <v>468</v>
      </c>
      <c r="BY3">
        <v>1</v>
      </c>
      <c r="BZ3" t="s">
        <v>6</v>
      </c>
      <c r="CA3" s="3">
        <v>77</v>
      </c>
      <c r="CB3" t="s">
        <v>3</v>
      </c>
      <c r="CC3" t="s">
        <v>237</v>
      </c>
      <c r="CE3" t="s">
        <v>237</v>
      </c>
      <c r="CF3" t="s">
        <v>241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489</v>
      </c>
      <c r="CQ3" t="s">
        <v>403</v>
      </c>
      <c r="CR3" t="s">
        <v>489</v>
      </c>
      <c r="CS3" t="s">
        <v>489</v>
      </c>
      <c r="CT3" t="s">
        <v>221</v>
      </c>
      <c r="CU3" t="s">
        <v>221</v>
      </c>
      <c r="CV3" t="s">
        <v>239</v>
      </c>
      <c r="CX3" t="s">
        <v>485</v>
      </c>
      <c r="CZ3" t="s">
        <v>267</v>
      </c>
      <c r="DA3" t="s">
        <v>504</v>
      </c>
      <c r="DB3" t="s">
        <v>470</v>
      </c>
      <c r="DC3" t="s">
        <v>5</v>
      </c>
      <c r="DD3" t="s">
        <v>489</v>
      </c>
      <c r="DF3" t="s">
        <v>239</v>
      </c>
      <c r="DW3">
        <v>2</v>
      </c>
      <c r="DX3">
        <v>1</v>
      </c>
    </row>
    <row r="4" spans="1:128" x14ac:dyDescent="0.25">
      <c r="A4" t="s">
        <v>0</v>
      </c>
      <c r="B4" t="s">
        <v>464</v>
      </c>
      <c r="C4">
        <v>1</v>
      </c>
      <c r="D4" t="s">
        <v>475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553</v>
      </c>
      <c r="AI4" t="s">
        <v>0</v>
      </c>
      <c r="AJ4" t="s">
        <v>3</v>
      </c>
      <c r="AK4" t="s">
        <v>468</v>
      </c>
      <c r="AL4" t="s">
        <v>469</v>
      </c>
      <c r="AM4" t="s">
        <v>460</v>
      </c>
      <c r="AN4">
        <v>3</v>
      </c>
      <c r="AO4" t="s">
        <v>580</v>
      </c>
      <c r="AP4" t="s">
        <v>190</v>
      </c>
      <c r="AT4">
        <v>2</v>
      </c>
      <c r="AU4">
        <v>15</v>
      </c>
      <c r="AV4">
        <v>17</v>
      </c>
      <c r="AZ4" t="s">
        <v>234</v>
      </c>
      <c r="BG4" t="s">
        <v>554</v>
      </c>
      <c r="BI4">
        <v>3</v>
      </c>
      <c r="BN4" t="s">
        <v>469</v>
      </c>
      <c r="BO4">
        <v>1</v>
      </c>
      <c r="BP4">
        <v>0.42</v>
      </c>
      <c r="BQ4">
        <v>0.39</v>
      </c>
      <c r="BR4">
        <v>0.39</v>
      </c>
      <c r="BS4">
        <v>0.4</v>
      </c>
      <c r="BT4">
        <v>56.3</v>
      </c>
      <c r="BU4" s="5">
        <v>48</v>
      </c>
      <c r="BV4" s="5">
        <v>87</v>
      </c>
      <c r="BW4">
        <v>120</v>
      </c>
      <c r="BX4" t="s">
        <v>468</v>
      </c>
      <c r="BY4">
        <v>1</v>
      </c>
      <c r="BZ4" t="s">
        <v>6</v>
      </c>
      <c r="CA4" s="3">
        <v>77</v>
      </c>
      <c r="CB4" t="s">
        <v>3</v>
      </c>
      <c r="CC4" t="s">
        <v>237</v>
      </c>
      <c r="CE4" t="s">
        <v>237</v>
      </c>
      <c r="CF4" t="s">
        <v>241</v>
      </c>
      <c r="CI4" t="s">
        <v>489</v>
      </c>
      <c r="CJ4" t="s">
        <v>489</v>
      </c>
      <c r="CK4" t="s">
        <v>489</v>
      </c>
      <c r="CL4" t="s">
        <v>489</v>
      </c>
      <c r="CM4" t="s">
        <v>489</v>
      </c>
      <c r="CN4" t="s">
        <v>489</v>
      </c>
      <c r="CO4" t="s">
        <v>489</v>
      </c>
      <c r="CP4" t="s">
        <v>489</v>
      </c>
      <c r="CQ4" t="s">
        <v>403</v>
      </c>
      <c r="CR4" t="s">
        <v>489</v>
      </c>
      <c r="CS4" t="s">
        <v>489</v>
      </c>
      <c r="CT4" t="s">
        <v>221</v>
      </c>
      <c r="CU4" t="s">
        <v>221</v>
      </c>
      <c r="CV4" t="s">
        <v>239</v>
      </c>
      <c r="CX4" t="s">
        <v>485</v>
      </c>
      <c r="CZ4" t="s">
        <v>267</v>
      </c>
      <c r="DA4" t="s">
        <v>504</v>
      </c>
      <c r="DB4" t="s">
        <v>470</v>
      </c>
      <c r="DC4" t="s">
        <v>5</v>
      </c>
      <c r="DD4" t="s">
        <v>489</v>
      </c>
      <c r="DF4" t="s">
        <v>239</v>
      </c>
      <c r="DW4">
        <v>3</v>
      </c>
      <c r="DX4">
        <v>1</v>
      </c>
    </row>
    <row r="5" spans="1:128" x14ac:dyDescent="0.25">
      <c r="A5" t="s">
        <v>0</v>
      </c>
      <c r="B5" t="s">
        <v>464</v>
      </c>
      <c r="C5">
        <v>1</v>
      </c>
      <c r="D5" t="s">
        <v>475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581</v>
      </c>
      <c r="AP5" t="s">
        <v>231</v>
      </c>
      <c r="AU5">
        <v>0</v>
      </c>
      <c r="AV5">
        <v>0</v>
      </c>
      <c r="BG5" t="s">
        <v>554</v>
      </c>
      <c r="BH5" t="s">
        <v>554</v>
      </c>
      <c r="BN5" t="s">
        <v>469</v>
      </c>
      <c r="BO5">
        <v>1</v>
      </c>
      <c r="BP5">
        <v>0.42</v>
      </c>
      <c r="BQ5">
        <v>0.39</v>
      </c>
      <c r="BR5">
        <v>0.39</v>
      </c>
      <c r="BS5">
        <v>0.4</v>
      </c>
      <c r="BT5">
        <v>56.3</v>
      </c>
      <c r="BU5" s="5">
        <v>48</v>
      </c>
      <c r="BV5" s="5">
        <v>87</v>
      </c>
      <c r="BW5">
        <v>120</v>
      </c>
      <c r="BX5" t="s">
        <v>468</v>
      </c>
      <c r="BY5">
        <v>1</v>
      </c>
      <c r="BZ5" t="s">
        <v>6</v>
      </c>
      <c r="CA5" s="3">
        <v>77</v>
      </c>
      <c r="CB5" t="s">
        <v>343</v>
      </c>
      <c r="CC5" t="s">
        <v>4</v>
      </c>
      <c r="CW5" t="s">
        <v>484</v>
      </c>
      <c r="DW5">
        <v>4</v>
      </c>
      <c r="DX5">
        <v>2</v>
      </c>
    </row>
    <row r="6" spans="1:128" x14ac:dyDescent="0.25">
      <c r="A6" t="s">
        <v>471</v>
      </c>
      <c r="B6" t="s">
        <v>464</v>
      </c>
      <c r="C6">
        <v>2</v>
      </c>
      <c r="D6" t="s">
        <v>476</v>
      </c>
      <c r="N6" t="s">
        <v>480</v>
      </c>
      <c r="AH6" t="s">
        <v>593</v>
      </c>
      <c r="AI6" t="s">
        <v>471</v>
      </c>
      <c r="AM6" t="s">
        <v>460</v>
      </c>
      <c r="AN6">
        <v>1</v>
      </c>
      <c r="AO6" t="s">
        <v>582</v>
      </c>
      <c r="AP6" t="s">
        <v>248</v>
      </c>
      <c r="AU6">
        <v>0</v>
      </c>
      <c r="AV6">
        <v>0</v>
      </c>
      <c r="BG6" t="s">
        <v>594</v>
      </c>
      <c r="BH6" t="s">
        <v>554</v>
      </c>
      <c r="BR6"/>
      <c r="BS6"/>
      <c r="BU6" s="5"/>
      <c r="BV6" s="5"/>
      <c r="BX6"/>
      <c r="CA6" s="3"/>
      <c r="DW6">
        <v>5</v>
      </c>
      <c r="DX6">
        <v>3</v>
      </c>
    </row>
    <row r="7" spans="1:128" x14ac:dyDescent="0.25">
      <c r="A7" t="s">
        <v>471</v>
      </c>
      <c r="B7" t="s">
        <v>464</v>
      </c>
      <c r="C7">
        <v>2</v>
      </c>
      <c r="D7" t="s">
        <v>476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583</v>
      </c>
      <c r="AP7" t="s">
        <v>190</v>
      </c>
      <c r="AU7">
        <v>0</v>
      </c>
      <c r="AV7">
        <v>0</v>
      </c>
      <c r="BG7" t="s">
        <v>554</v>
      </c>
      <c r="BH7" t="s">
        <v>554</v>
      </c>
      <c r="BR7"/>
      <c r="BS7"/>
      <c r="BU7" s="5"/>
      <c r="BV7" s="5"/>
      <c r="BX7"/>
      <c r="CA7" s="3"/>
      <c r="DW7">
        <v>6</v>
      </c>
      <c r="DX7">
        <v>4</v>
      </c>
    </row>
    <row r="8" spans="1:128" x14ac:dyDescent="0.25">
      <c r="A8" t="s">
        <v>471</v>
      </c>
      <c r="B8" t="s">
        <v>464</v>
      </c>
      <c r="C8">
        <v>2</v>
      </c>
      <c r="D8" t="s">
        <v>476</v>
      </c>
      <c r="N8" t="s">
        <v>480</v>
      </c>
      <c r="AH8" t="s">
        <v>591</v>
      </c>
      <c r="AI8" t="s">
        <v>471</v>
      </c>
      <c r="AM8" t="s">
        <v>460</v>
      </c>
      <c r="AN8">
        <v>3</v>
      </c>
      <c r="AO8" t="s">
        <v>583</v>
      </c>
      <c r="AP8" t="s">
        <v>190</v>
      </c>
      <c r="AU8">
        <v>0</v>
      </c>
      <c r="AV8">
        <v>0</v>
      </c>
      <c r="BG8" t="s">
        <v>554</v>
      </c>
      <c r="BH8" t="s">
        <v>554</v>
      </c>
      <c r="BR8"/>
      <c r="BS8"/>
      <c r="BU8" s="5"/>
      <c r="BV8" s="5"/>
      <c r="BX8"/>
      <c r="CA8" s="3"/>
      <c r="DW8">
        <v>7</v>
      </c>
      <c r="DX8">
        <v>4</v>
      </c>
    </row>
    <row r="9" spans="1:128" x14ac:dyDescent="0.25">
      <c r="A9" t="s">
        <v>518</v>
      </c>
      <c r="B9" t="s">
        <v>464</v>
      </c>
      <c r="C9">
        <v>12</v>
      </c>
      <c r="D9" t="s">
        <v>519</v>
      </c>
      <c r="AH9" t="s">
        <v>595</v>
      </c>
      <c r="AI9" t="s">
        <v>518</v>
      </c>
      <c r="AM9" t="s">
        <v>460</v>
      </c>
      <c r="AO9" t="s">
        <v>584</v>
      </c>
      <c r="AP9" t="s">
        <v>231</v>
      </c>
      <c r="AU9">
        <v>0</v>
      </c>
      <c r="AV9">
        <v>0</v>
      </c>
      <c r="BG9" t="s">
        <v>554</v>
      </c>
      <c r="BH9" t="s">
        <v>554</v>
      </c>
      <c r="BR9"/>
      <c r="BS9"/>
      <c r="BU9" s="5"/>
      <c r="BV9" s="5"/>
      <c r="BX9"/>
      <c r="CA9" s="3"/>
      <c r="DW9">
        <v>8</v>
      </c>
      <c r="DX9">
        <v>5</v>
      </c>
    </row>
    <row r="10" spans="1:128" x14ac:dyDescent="0.25">
      <c r="A10" t="s">
        <v>518</v>
      </c>
      <c r="B10" t="s">
        <v>464</v>
      </c>
      <c r="C10">
        <v>12</v>
      </c>
      <c r="D10" t="s">
        <v>519</v>
      </c>
      <c r="AH10" t="s">
        <v>597</v>
      </c>
      <c r="AI10" t="s">
        <v>518</v>
      </c>
      <c r="AM10" t="s">
        <v>460</v>
      </c>
      <c r="AO10" t="s">
        <v>585</v>
      </c>
      <c r="AP10" t="s">
        <v>190</v>
      </c>
      <c r="AU10">
        <v>0</v>
      </c>
      <c r="AV10">
        <v>0</v>
      </c>
      <c r="BG10" t="s">
        <v>554</v>
      </c>
      <c r="BH10" t="s">
        <v>554</v>
      </c>
      <c r="BR10"/>
      <c r="BS10"/>
      <c r="BU10" s="5"/>
      <c r="BV10" s="5"/>
      <c r="BX10"/>
      <c r="CA10" s="3"/>
      <c r="DW10">
        <v>9</v>
      </c>
      <c r="DX10">
        <v>6</v>
      </c>
    </row>
    <row r="11" spans="1:128" x14ac:dyDescent="0.25">
      <c r="A11" t="s">
        <v>518</v>
      </c>
      <c r="B11" t="s">
        <v>464</v>
      </c>
      <c r="C11">
        <v>12</v>
      </c>
      <c r="D11" t="s">
        <v>519</v>
      </c>
      <c r="AH11" t="s">
        <v>596</v>
      </c>
      <c r="AI11" t="s">
        <v>518</v>
      </c>
      <c r="AM11" t="s">
        <v>460</v>
      </c>
      <c r="AO11" t="s">
        <v>585</v>
      </c>
      <c r="AP11" t="s">
        <v>190</v>
      </c>
      <c r="AU11">
        <v>0</v>
      </c>
      <c r="AV11">
        <v>0</v>
      </c>
      <c r="BG11" t="s">
        <v>554</v>
      </c>
      <c r="BH11" t="s">
        <v>554</v>
      </c>
      <c r="BR11"/>
      <c r="BS11"/>
      <c r="BU11" s="5"/>
      <c r="BV11" s="5"/>
      <c r="BX11"/>
      <c r="CA11" s="3"/>
      <c r="DW11">
        <v>10</v>
      </c>
      <c r="DX11">
        <v>6</v>
      </c>
    </row>
    <row r="12" spans="1:128" x14ac:dyDescent="0.25">
      <c r="A12" t="s">
        <v>444</v>
      </c>
      <c r="B12" t="s">
        <v>463</v>
      </c>
      <c r="C12">
        <v>0</v>
      </c>
      <c r="D12" t="s">
        <v>520</v>
      </c>
      <c r="AH12" t="s">
        <v>466</v>
      </c>
      <c r="AI12" t="s">
        <v>444</v>
      </c>
      <c r="AM12" t="s">
        <v>460</v>
      </c>
      <c r="AN12">
        <v>1</v>
      </c>
      <c r="AO12" t="s">
        <v>586</v>
      </c>
      <c r="AP12" t="s">
        <v>299</v>
      </c>
      <c r="AT12">
        <v>2</v>
      </c>
      <c r="AU12">
        <v>0</v>
      </c>
      <c r="AV12">
        <v>2</v>
      </c>
      <c r="BR12"/>
      <c r="BS12"/>
      <c r="BU12" s="5"/>
      <c r="BV12" s="5"/>
      <c r="BX12"/>
      <c r="CA12" s="3"/>
      <c r="DW12">
        <v>11</v>
      </c>
      <c r="DX12">
        <v>7</v>
      </c>
    </row>
    <row r="13" spans="1:128" x14ac:dyDescent="0.25">
      <c r="A13" t="s">
        <v>2</v>
      </c>
      <c r="B13" t="s">
        <v>463</v>
      </c>
      <c r="C13">
        <v>1</v>
      </c>
      <c r="D13" t="s">
        <v>478</v>
      </c>
      <c r="AH13" t="s">
        <v>467</v>
      </c>
      <c r="AI13" t="s">
        <v>2</v>
      </c>
      <c r="AJ13" t="s">
        <v>343</v>
      </c>
      <c r="AM13" t="s">
        <v>460</v>
      </c>
      <c r="AN13">
        <v>1</v>
      </c>
      <c r="AO13" t="s">
        <v>587</v>
      </c>
      <c r="AP13" t="s">
        <v>299</v>
      </c>
      <c r="AT13">
        <v>3</v>
      </c>
      <c r="AU13">
        <v>0</v>
      </c>
      <c r="AV13">
        <v>3</v>
      </c>
      <c r="BR13"/>
      <c r="BS13"/>
      <c r="BU13" s="5"/>
      <c r="BV13" s="5"/>
      <c r="BX13"/>
      <c r="CA13" s="3"/>
      <c r="CB13" t="s">
        <v>343</v>
      </c>
      <c r="CC13" t="s">
        <v>4</v>
      </c>
      <c r="CW13" t="s">
        <v>484</v>
      </c>
      <c r="DI13" t="s">
        <v>353</v>
      </c>
      <c r="DJ13" t="s">
        <v>295</v>
      </c>
      <c r="DL13" t="s">
        <v>354</v>
      </c>
      <c r="DM13" t="s">
        <v>353</v>
      </c>
      <c r="DN13" t="s">
        <v>355</v>
      </c>
      <c r="DP13" t="s">
        <v>409</v>
      </c>
      <c r="DW13">
        <v>12</v>
      </c>
      <c r="DX13">
        <v>8</v>
      </c>
    </row>
    <row r="14" spans="1:128" x14ac:dyDescent="0.25">
      <c r="A14" t="s">
        <v>1</v>
      </c>
      <c r="B14" t="s">
        <v>459</v>
      </c>
      <c r="C14">
        <v>1</v>
      </c>
      <c r="D14" t="s">
        <v>477</v>
      </c>
      <c r="E14" t="s">
        <v>346</v>
      </c>
      <c r="F14" t="s">
        <v>336</v>
      </c>
      <c r="G14" t="s">
        <v>347</v>
      </c>
      <c r="H14" t="s">
        <v>339</v>
      </c>
      <c r="I14" t="s">
        <v>340</v>
      </c>
      <c r="AH14" t="s">
        <v>441</v>
      </c>
      <c r="AI14" t="s">
        <v>1</v>
      </c>
      <c r="AJ14" t="s">
        <v>3</v>
      </c>
      <c r="AM14" t="s">
        <v>465</v>
      </c>
      <c r="AN14">
        <v>1</v>
      </c>
      <c r="AO14" t="s">
        <v>588</v>
      </c>
      <c r="AP14" t="s">
        <v>313</v>
      </c>
      <c r="AQ14" t="s">
        <v>345</v>
      </c>
      <c r="AR14" t="s">
        <v>344</v>
      </c>
      <c r="AY14" t="s">
        <v>349</v>
      </c>
      <c r="AZ14" t="s">
        <v>234</v>
      </c>
      <c r="BE14" t="s">
        <v>350</v>
      </c>
      <c r="BF14" t="s">
        <v>232</v>
      </c>
      <c r="BG14" t="s">
        <v>348</v>
      </c>
      <c r="BH14" t="s">
        <v>304</v>
      </c>
      <c r="BR14"/>
      <c r="BS14"/>
      <c r="BU14" s="5"/>
      <c r="BV14" s="5"/>
      <c r="BX14"/>
      <c r="CA14" s="3"/>
      <c r="CB14" t="s">
        <v>3</v>
      </c>
      <c r="CC14" t="s">
        <v>237</v>
      </c>
      <c r="CE14" t="s">
        <v>237</v>
      </c>
      <c r="CF14" t="s">
        <v>241</v>
      </c>
      <c r="CI14" t="s">
        <v>489</v>
      </c>
      <c r="CJ14" t="s">
        <v>489</v>
      </c>
      <c r="CK14" t="s">
        <v>489</v>
      </c>
      <c r="CL14" t="s">
        <v>489</v>
      </c>
      <c r="CM14" t="s">
        <v>489</v>
      </c>
      <c r="CN14" t="s">
        <v>489</v>
      </c>
      <c r="CO14" t="s">
        <v>489</v>
      </c>
      <c r="CP14" t="s">
        <v>489</v>
      </c>
      <c r="CQ14" t="s">
        <v>403</v>
      </c>
      <c r="CR14" t="s">
        <v>489</v>
      </c>
      <c r="CS14" t="s">
        <v>489</v>
      </c>
      <c r="CT14" t="s">
        <v>221</v>
      </c>
      <c r="CU14" t="s">
        <v>221</v>
      </c>
      <c r="CV14" t="s">
        <v>239</v>
      </c>
      <c r="CX14" t="s">
        <v>485</v>
      </c>
      <c r="CZ14" t="s">
        <v>267</v>
      </c>
      <c r="DA14" t="s">
        <v>504</v>
      </c>
      <c r="DB14" t="s">
        <v>470</v>
      </c>
      <c r="DC14" t="s">
        <v>5</v>
      </c>
      <c r="DD14" t="s">
        <v>489</v>
      </c>
      <c r="DF14" t="s">
        <v>239</v>
      </c>
      <c r="DG14">
        <v>450</v>
      </c>
      <c r="DH14">
        <v>9</v>
      </c>
      <c r="DW14">
        <v>13</v>
      </c>
      <c r="DX14">
        <v>9</v>
      </c>
    </row>
    <row r="15" spans="1:128" x14ac:dyDescent="0.25">
      <c r="A15" t="s">
        <v>1</v>
      </c>
      <c r="B15" t="s">
        <v>459</v>
      </c>
      <c r="C15">
        <v>1</v>
      </c>
      <c r="D15" t="s">
        <v>477</v>
      </c>
      <c r="E15" t="s">
        <v>346</v>
      </c>
      <c r="F15" t="s">
        <v>336</v>
      </c>
      <c r="G15" t="s">
        <v>347</v>
      </c>
      <c r="H15" t="s">
        <v>339</v>
      </c>
      <c r="I15" t="s">
        <v>340</v>
      </c>
      <c r="AH15" t="s">
        <v>452</v>
      </c>
      <c r="AI15" t="s">
        <v>1</v>
      </c>
      <c r="AJ15" t="s">
        <v>343</v>
      </c>
      <c r="AM15" t="s">
        <v>465</v>
      </c>
      <c r="AN15">
        <v>2</v>
      </c>
      <c r="AO15" t="s">
        <v>589</v>
      </c>
      <c r="AP15" t="s">
        <v>313</v>
      </c>
      <c r="AQ15" t="s">
        <v>443</v>
      </c>
      <c r="AR15" t="s">
        <v>445</v>
      </c>
      <c r="AS15" t="s">
        <v>447</v>
      </c>
      <c r="AW15" t="s">
        <v>220</v>
      </c>
      <c r="AY15" t="s">
        <v>442</v>
      </c>
      <c r="AZ15" t="s">
        <v>263</v>
      </c>
      <c r="BF15" t="s">
        <v>215</v>
      </c>
      <c r="BG15" t="s">
        <v>443</v>
      </c>
      <c r="BH15" t="s">
        <v>446</v>
      </c>
      <c r="BR15"/>
      <c r="BS15"/>
      <c r="BU15" s="5"/>
      <c r="BV15" s="5"/>
      <c r="BX15"/>
      <c r="CA15" s="3"/>
      <c r="CB15" t="s">
        <v>343</v>
      </c>
      <c r="CC15" t="s">
        <v>4</v>
      </c>
      <c r="CW15" t="s">
        <v>484</v>
      </c>
      <c r="DG15">
        <v>250</v>
      </c>
      <c r="DH15">
        <v>7</v>
      </c>
      <c r="DW15">
        <v>14</v>
      </c>
      <c r="DX15">
        <v>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461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491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439</v>
      </c>
      <c r="AP1" t="s">
        <v>440</v>
      </c>
      <c r="AQ1" t="s">
        <v>180</v>
      </c>
      <c r="AR1" t="s">
        <v>183</v>
      </c>
      <c r="AS1" t="s">
        <v>435</v>
      </c>
      <c r="AT1" t="s">
        <v>436</v>
      </c>
      <c r="AU1" t="s">
        <v>156</v>
      </c>
      <c r="AV1" t="s">
        <v>157</v>
      </c>
      <c r="AW1" t="s">
        <v>334</v>
      </c>
      <c r="AX1" t="s">
        <v>486</v>
      </c>
      <c r="AY1" t="s">
        <v>487</v>
      </c>
      <c r="AZ1" t="s">
        <v>488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455</v>
      </c>
      <c r="BG1" t="s">
        <v>155</v>
      </c>
    </row>
    <row r="2" spans="1:59" x14ac:dyDescent="0.25">
      <c r="A2" t="s">
        <v>444</v>
      </c>
      <c r="B2" t="s">
        <v>463</v>
      </c>
      <c r="C2">
        <v>0</v>
      </c>
      <c r="D2" t="s">
        <v>520</v>
      </c>
      <c r="M2" t="s">
        <v>466</v>
      </c>
      <c r="N2" t="s">
        <v>444</v>
      </c>
      <c r="P2" t="s">
        <v>460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463</v>
      </c>
      <c r="C3">
        <v>1</v>
      </c>
      <c r="D3" t="s">
        <v>478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  <c r="M3" t="s">
        <v>467</v>
      </c>
      <c r="N3" t="s">
        <v>2</v>
      </c>
      <c r="O3" t="s">
        <v>343</v>
      </c>
      <c r="P3" t="s">
        <v>460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343</v>
      </c>
      <c r="AD3" t="s">
        <v>4</v>
      </c>
      <c r="AX3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491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334</v>
      </c>
      <c r="AW1" t="s">
        <v>486</v>
      </c>
      <c r="AX1" t="s">
        <v>487</v>
      </c>
      <c r="AY1" t="s">
        <v>488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455</v>
      </c>
      <c r="BF1" t="s">
        <v>155</v>
      </c>
    </row>
    <row r="2" spans="1:58" x14ac:dyDescent="0.25">
      <c r="A2" t="s">
        <v>1</v>
      </c>
      <c r="B2" t="s">
        <v>459</v>
      </c>
      <c r="C2">
        <v>1</v>
      </c>
      <c r="D2" t="s">
        <v>477</v>
      </c>
      <c r="E2" t="s">
        <v>346</v>
      </c>
      <c r="F2" t="s">
        <v>336</v>
      </c>
      <c r="G2" t="s">
        <v>347</v>
      </c>
      <c r="H2" t="s">
        <v>339</v>
      </c>
      <c r="I2" t="s">
        <v>340</v>
      </c>
      <c r="J2" t="s">
        <v>452</v>
      </c>
      <c r="K2" t="s">
        <v>1</v>
      </c>
      <c r="L2" t="s">
        <v>343</v>
      </c>
      <c r="M2" t="s">
        <v>465</v>
      </c>
      <c r="N2">
        <v>2</v>
      </c>
      <c r="O2" t="s">
        <v>313</v>
      </c>
      <c r="P2" t="s">
        <v>443</v>
      </c>
      <c r="Q2" s="9" t="s">
        <v>445</v>
      </c>
      <c r="R2" t="s">
        <v>443</v>
      </c>
      <c r="S2">
        <v>250</v>
      </c>
      <c r="T2">
        <v>7</v>
      </c>
      <c r="U2" t="s">
        <v>215</v>
      </c>
      <c r="V2" t="s">
        <v>442</v>
      </c>
      <c r="W2" t="s">
        <v>446</v>
      </c>
      <c r="X2" t="s">
        <v>447</v>
      </c>
      <c r="Y2" t="s">
        <v>220</v>
      </c>
      <c r="Z2" t="s">
        <v>263</v>
      </c>
      <c r="AB2" t="s">
        <v>343</v>
      </c>
      <c r="AC2" t="s">
        <v>4</v>
      </c>
      <c r="AW2" t="s">
        <v>484</v>
      </c>
    </row>
    <row r="3" spans="1:58" x14ac:dyDescent="0.25">
      <c r="A3" t="s">
        <v>1</v>
      </c>
      <c r="B3" t="s">
        <v>459</v>
      </c>
      <c r="C3">
        <v>1</v>
      </c>
      <c r="D3" t="s">
        <v>477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313</v>
      </c>
      <c r="P3" t="s">
        <v>345</v>
      </c>
      <c r="Q3" s="9" t="s">
        <v>344</v>
      </c>
      <c r="R3" t="s">
        <v>348</v>
      </c>
      <c r="S3">
        <v>450</v>
      </c>
      <c r="T3">
        <v>9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489</v>
      </c>
      <c r="AJ3" t="s">
        <v>489</v>
      </c>
      <c r="AK3" t="s">
        <v>489</v>
      </c>
      <c r="AL3" t="s">
        <v>489</v>
      </c>
      <c r="AM3" t="s">
        <v>489</v>
      </c>
      <c r="AN3" t="s">
        <v>489</v>
      </c>
      <c r="AO3" t="s">
        <v>489</v>
      </c>
      <c r="AP3" t="s">
        <v>489</v>
      </c>
      <c r="AQ3" t="s">
        <v>403</v>
      </c>
      <c r="AR3" t="s">
        <v>489</v>
      </c>
      <c r="AS3" t="s">
        <v>489</v>
      </c>
      <c r="AT3" t="s">
        <v>221</v>
      </c>
      <c r="AU3" t="s">
        <v>221</v>
      </c>
      <c r="AV3" t="s">
        <v>239</v>
      </c>
      <c r="AX3" t="s">
        <v>485</v>
      </c>
      <c r="AZ3" t="s">
        <v>267</v>
      </c>
      <c r="BA3" t="s">
        <v>504</v>
      </c>
      <c r="BB3" t="s">
        <v>470</v>
      </c>
      <c r="BC3" t="s">
        <v>5</v>
      </c>
      <c r="BD3" t="s">
        <v>489</v>
      </c>
      <c r="BF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11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</row>
    <row r="2" spans="1:109" x14ac:dyDescent="0.25">
      <c r="A2" t="s">
        <v>0</v>
      </c>
      <c r="B2" t="s">
        <v>464</v>
      </c>
      <c r="C2">
        <v>1</v>
      </c>
      <c r="D2" s="18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479</v>
      </c>
      <c r="AI2" t="s">
        <v>0</v>
      </c>
      <c r="AJ2" t="s">
        <v>3</v>
      </c>
      <c r="AK2" t="s">
        <v>468</v>
      </c>
      <c r="AM2" t="s">
        <v>460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T2">
        <v>12</v>
      </c>
      <c r="AU2">
        <v>15</v>
      </c>
      <c r="AV2" t="s">
        <v>191</v>
      </c>
      <c r="AW2" t="s">
        <v>233</v>
      </c>
      <c r="AX2" t="s">
        <v>442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448</v>
      </c>
      <c r="BG2" t="s">
        <v>304</v>
      </c>
      <c r="BH2">
        <v>2</v>
      </c>
      <c r="BI2" t="s">
        <v>451</v>
      </c>
      <c r="BJ2" t="s">
        <v>451</v>
      </c>
      <c r="BK2" t="s">
        <v>191</v>
      </c>
      <c r="BL2" t="s">
        <v>451</v>
      </c>
      <c r="BR2"/>
      <c r="BS2"/>
      <c r="BT2" s="5"/>
      <c r="BU2" s="5"/>
      <c r="BW2" t="s">
        <v>468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489</v>
      </c>
      <c r="CI2" t="s">
        <v>489</v>
      </c>
      <c r="CJ2" t="s">
        <v>489</v>
      </c>
      <c r="CK2" t="s">
        <v>489</v>
      </c>
      <c r="CL2" t="s">
        <v>489</v>
      </c>
      <c r="CM2" t="s">
        <v>489</v>
      </c>
      <c r="CN2" t="s">
        <v>489</v>
      </c>
      <c r="CO2" t="s">
        <v>489</v>
      </c>
      <c r="CP2" t="s">
        <v>403</v>
      </c>
      <c r="CQ2" t="s">
        <v>489</v>
      </c>
      <c r="CR2" t="s">
        <v>489</v>
      </c>
      <c r="CS2" t="s">
        <v>221</v>
      </c>
      <c r="CT2" t="s">
        <v>221</v>
      </c>
      <c r="CU2" t="s">
        <v>239</v>
      </c>
      <c r="CW2" t="s">
        <v>485</v>
      </c>
      <c r="CY2" t="s">
        <v>267</v>
      </c>
      <c r="CZ2" t="s">
        <v>504</v>
      </c>
      <c r="DA2" t="s">
        <v>470</v>
      </c>
      <c r="DB2" t="s">
        <v>5</v>
      </c>
      <c r="DC2" t="s">
        <v>489</v>
      </c>
      <c r="DE2" t="s">
        <v>239</v>
      </c>
    </row>
    <row r="3" spans="1:109" x14ac:dyDescent="0.25">
      <c r="A3" t="s">
        <v>0</v>
      </c>
      <c r="B3" t="s">
        <v>464</v>
      </c>
      <c r="C3">
        <v>1</v>
      </c>
      <c r="D3" s="18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553</v>
      </c>
      <c r="AI3" t="s">
        <v>0</v>
      </c>
      <c r="AJ3" t="s">
        <v>3</v>
      </c>
      <c r="AK3" t="s">
        <v>468</v>
      </c>
      <c r="AL3" t="s">
        <v>469</v>
      </c>
      <c r="AM3" t="s">
        <v>460</v>
      </c>
      <c r="AN3">
        <v>3</v>
      </c>
      <c r="AO3" t="s">
        <v>190</v>
      </c>
      <c r="AS3">
        <v>2</v>
      </c>
      <c r="AT3">
        <v>15</v>
      </c>
      <c r="AU3">
        <v>17</v>
      </c>
      <c r="AY3" t="s">
        <v>234</v>
      </c>
      <c r="BF3" t="s">
        <v>554</v>
      </c>
      <c r="BH3">
        <v>3</v>
      </c>
      <c r="BM3" t="s">
        <v>469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W3" t="s">
        <v>468</v>
      </c>
      <c r="BX3">
        <v>1</v>
      </c>
      <c r="BY3" t="s">
        <v>6</v>
      </c>
      <c r="BZ3" s="3">
        <v>77</v>
      </c>
      <c r="CA3" t="s">
        <v>3</v>
      </c>
      <c r="CB3" t="s">
        <v>237</v>
      </c>
      <c r="CD3" t="s">
        <v>237</v>
      </c>
      <c r="CE3" t="s">
        <v>241</v>
      </c>
      <c r="CH3" t="s">
        <v>489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403</v>
      </c>
      <c r="CQ3" t="s">
        <v>489</v>
      </c>
      <c r="CR3" t="s">
        <v>489</v>
      </c>
      <c r="CS3" t="s">
        <v>221</v>
      </c>
      <c r="CT3" t="s">
        <v>221</v>
      </c>
      <c r="CU3" t="s">
        <v>239</v>
      </c>
      <c r="CW3" t="s">
        <v>485</v>
      </c>
      <c r="CY3" t="s">
        <v>267</v>
      </c>
      <c r="CZ3" t="s">
        <v>504</v>
      </c>
      <c r="DA3" t="s">
        <v>470</v>
      </c>
      <c r="DB3" t="s">
        <v>5</v>
      </c>
      <c r="DC3" t="s">
        <v>489</v>
      </c>
      <c r="DE3" t="s">
        <v>239</v>
      </c>
    </row>
    <row r="4" spans="1:109" x14ac:dyDescent="0.25">
      <c r="A4" t="s">
        <v>0</v>
      </c>
      <c r="B4" t="s">
        <v>464</v>
      </c>
      <c r="C4">
        <v>1</v>
      </c>
      <c r="D4" s="18">
        <v>44792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t="s">
        <v>343</v>
      </c>
      <c r="CB4" t="s">
        <v>4</v>
      </c>
      <c r="CV4" t="s">
        <v>484</v>
      </c>
    </row>
    <row r="5" spans="1:109" x14ac:dyDescent="0.25">
      <c r="A5" t="s">
        <v>0</v>
      </c>
      <c r="B5" t="s">
        <v>464</v>
      </c>
      <c r="C5">
        <v>1</v>
      </c>
      <c r="D5" s="18">
        <v>44792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231</v>
      </c>
      <c r="AT5">
        <v>0</v>
      </c>
      <c r="AU5">
        <v>0</v>
      </c>
      <c r="BF5" t="s">
        <v>554</v>
      </c>
      <c r="BG5" t="s">
        <v>554</v>
      </c>
      <c r="BM5" t="s">
        <v>469</v>
      </c>
      <c r="BN5">
        <v>1</v>
      </c>
      <c r="BO5">
        <v>0.42</v>
      </c>
      <c r="BP5">
        <v>0.39</v>
      </c>
      <c r="BQ5">
        <v>0.39</v>
      </c>
      <c r="BR5">
        <v>0.4</v>
      </c>
      <c r="BS5">
        <v>56.3</v>
      </c>
      <c r="BT5" s="5">
        <v>48</v>
      </c>
      <c r="BU5" s="5">
        <v>87</v>
      </c>
      <c r="BV5">
        <v>120</v>
      </c>
      <c r="BW5" t="s">
        <v>468</v>
      </c>
      <c r="BX5">
        <v>1</v>
      </c>
      <c r="BY5" t="s">
        <v>6</v>
      </c>
      <c r="BZ5" s="3">
        <v>77</v>
      </c>
      <c r="CA5" t="s">
        <v>343</v>
      </c>
      <c r="CB5" t="s">
        <v>4</v>
      </c>
      <c r="CV5" t="s">
        <v>484</v>
      </c>
    </row>
    <row r="6" spans="1:109" x14ac:dyDescent="0.25">
      <c r="A6" t="s">
        <v>471</v>
      </c>
      <c r="B6" t="s">
        <v>464</v>
      </c>
      <c r="C6">
        <v>2</v>
      </c>
      <c r="D6" s="18">
        <v>45157</v>
      </c>
      <c r="N6" t="s">
        <v>480</v>
      </c>
      <c r="AH6" t="s">
        <v>591</v>
      </c>
      <c r="AI6" t="s">
        <v>471</v>
      </c>
      <c r="AM6" t="s">
        <v>460</v>
      </c>
      <c r="AN6">
        <v>3</v>
      </c>
      <c r="AO6" t="s">
        <v>190</v>
      </c>
      <c r="AT6">
        <v>0</v>
      </c>
      <c r="AU6">
        <v>0</v>
      </c>
      <c r="BF6" t="s">
        <v>554</v>
      </c>
      <c r="BG6" t="s">
        <v>554</v>
      </c>
      <c r="BR6"/>
      <c r="BS6"/>
      <c r="BT6" s="5"/>
      <c r="BU6" s="5"/>
      <c r="BX6"/>
      <c r="BZ6" s="3"/>
    </row>
    <row r="7" spans="1:109" x14ac:dyDescent="0.25">
      <c r="A7" t="s">
        <v>471</v>
      </c>
      <c r="B7" t="s">
        <v>464</v>
      </c>
      <c r="C7">
        <v>2</v>
      </c>
      <c r="D7" s="18">
        <v>45157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190</v>
      </c>
      <c r="AT7">
        <v>0</v>
      </c>
      <c r="AU7">
        <v>0</v>
      </c>
      <c r="BF7" t="s">
        <v>554</v>
      </c>
      <c r="BG7" t="s">
        <v>554</v>
      </c>
      <c r="BR7"/>
      <c r="BS7"/>
      <c r="BT7" s="5"/>
      <c r="BU7" s="5"/>
      <c r="BX7"/>
      <c r="BZ7" s="3"/>
    </row>
    <row r="8" spans="1:109" x14ac:dyDescent="0.25">
      <c r="A8" t="s">
        <v>471</v>
      </c>
      <c r="B8" t="s">
        <v>464</v>
      </c>
      <c r="C8">
        <v>2</v>
      </c>
      <c r="D8" s="18">
        <v>45157</v>
      </c>
      <c r="N8" t="s">
        <v>480</v>
      </c>
      <c r="AH8" t="s">
        <v>593</v>
      </c>
      <c r="AI8" t="s">
        <v>471</v>
      </c>
      <c r="AM8" t="s">
        <v>460</v>
      </c>
      <c r="AN8">
        <v>1</v>
      </c>
      <c r="AO8" t="s">
        <v>248</v>
      </c>
      <c r="AT8">
        <v>0</v>
      </c>
      <c r="AU8">
        <v>0</v>
      </c>
      <c r="BF8" t="s">
        <v>594</v>
      </c>
      <c r="BG8" t="s">
        <v>554</v>
      </c>
      <c r="BR8"/>
      <c r="BS8"/>
      <c r="BT8" s="5"/>
      <c r="BU8" s="5"/>
      <c r="BX8"/>
      <c r="BZ8" s="3"/>
    </row>
    <row r="9" spans="1:109" x14ac:dyDescent="0.25">
      <c r="A9" t="s">
        <v>518</v>
      </c>
      <c r="B9" t="s">
        <v>464</v>
      </c>
      <c r="C9">
        <v>12</v>
      </c>
      <c r="D9" s="18">
        <v>44197</v>
      </c>
      <c r="AH9" t="s">
        <v>596</v>
      </c>
      <c r="AI9" t="s">
        <v>518</v>
      </c>
      <c r="AM9" t="s">
        <v>460</v>
      </c>
      <c r="AO9" t="s">
        <v>190</v>
      </c>
      <c r="AT9">
        <v>0</v>
      </c>
      <c r="AU9">
        <v>0</v>
      </c>
      <c r="BF9" t="s">
        <v>554</v>
      </c>
      <c r="BG9" t="s">
        <v>554</v>
      </c>
      <c r="BR9"/>
      <c r="BS9"/>
      <c r="BT9" s="5"/>
      <c r="BU9" s="5"/>
      <c r="BX9"/>
      <c r="BZ9" s="3"/>
    </row>
    <row r="10" spans="1:109" x14ac:dyDescent="0.25">
      <c r="A10" t="s">
        <v>518</v>
      </c>
      <c r="B10" t="s">
        <v>464</v>
      </c>
      <c r="C10">
        <v>12</v>
      </c>
      <c r="D10" s="18">
        <v>44197</v>
      </c>
      <c r="AH10" t="s">
        <v>597</v>
      </c>
      <c r="AI10" t="s">
        <v>518</v>
      </c>
      <c r="AM10" t="s">
        <v>460</v>
      </c>
      <c r="AO10" t="s">
        <v>190</v>
      </c>
      <c r="AT10">
        <v>0</v>
      </c>
      <c r="AU10">
        <v>0</v>
      </c>
      <c r="BF10" t="s">
        <v>554</v>
      </c>
      <c r="BG10" t="s">
        <v>554</v>
      </c>
      <c r="BR10"/>
      <c r="BS10"/>
      <c r="BT10" s="5"/>
      <c r="BU10" s="5"/>
      <c r="BX10"/>
      <c r="BZ10" s="3"/>
    </row>
    <row r="11" spans="1:109" x14ac:dyDescent="0.25">
      <c r="A11" t="s">
        <v>518</v>
      </c>
      <c r="B11" t="s">
        <v>464</v>
      </c>
      <c r="C11">
        <v>12</v>
      </c>
      <c r="D11" s="18">
        <v>44197</v>
      </c>
      <c r="AH11" t="s">
        <v>595</v>
      </c>
      <c r="AI11" t="s">
        <v>518</v>
      </c>
      <c r="AM11" t="s">
        <v>460</v>
      </c>
      <c r="AO11" t="s">
        <v>231</v>
      </c>
      <c r="AT11">
        <v>0</v>
      </c>
      <c r="AU11">
        <v>0</v>
      </c>
      <c r="BF11" t="s">
        <v>554</v>
      </c>
      <c r="BG11" t="s">
        <v>554</v>
      </c>
      <c r="BR11"/>
      <c r="BS11"/>
      <c r="BT11" s="5"/>
      <c r="BU11" s="5"/>
      <c r="BX11"/>
      <c r="BZ1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497</v>
      </c>
      <c r="B1" s="52"/>
      <c r="C1" s="52"/>
      <c r="D1" s="30"/>
      <c r="E1" s="52" t="s">
        <v>495</v>
      </c>
      <c r="F1" s="52"/>
      <c r="H1" s="52" t="s">
        <v>543</v>
      </c>
      <c r="I1" s="52"/>
    </row>
    <row r="2" spans="1:9" ht="20.25" customHeight="1" x14ac:dyDescent="0.25">
      <c r="A2" s="32" t="s">
        <v>501</v>
      </c>
      <c r="B2" s="32" t="s">
        <v>503</v>
      </c>
      <c r="C2" s="32" t="s">
        <v>494</v>
      </c>
      <c r="D2" s="31"/>
      <c r="E2" s="32" t="s">
        <v>500</v>
      </c>
      <c r="F2" s="32" t="s">
        <v>496</v>
      </c>
      <c r="H2" s="38" t="s">
        <v>544</v>
      </c>
      <c r="I2" s="32" t="s">
        <v>545</v>
      </c>
    </row>
    <row r="3" spans="1:9" ht="20.25" customHeight="1" x14ac:dyDescent="0.25">
      <c r="A3" s="34" t="s">
        <v>498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7</v>
      </c>
    </row>
    <row r="4" spans="1:9" ht="20.25" customHeight="1" x14ac:dyDescent="0.25">
      <c r="A4" s="34" t="s">
        <v>502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2</v>
      </c>
    </row>
    <row r="5" spans="1:9" ht="20.25" customHeight="1" x14ac:dyDescent="0.25">
      <c r="A5" s="34" t="s">
        <v>499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1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65" t="s">
        <v>569</v>
      </c>
      <c r="K1" s="65"/>
      <c r="N1" s="63" t="s">
        <v>544</v>
      </c>
      <c r="O1" s="63"/>
      <c r="P1" s="63"/>
      <c r="Q1" s="63"/>
      <c r="R1" s="63"/>
      <c r="S1" s="63"/>
      <c r="T1" s="63"/>
      <c r="U1" s="63"/>
      <c r="V1" s="63"/>
      <c r="W1" s="63"/>
      <c r="Z1" s="40" t="s">
        <v>573</v>
      </c>
    </row>
    <row r="2" spans="1:26" ht="14.1" customHeight="1" x14ac:dyDescent="0.2">
      <c r="A2" s="53" t="str">
        <f>"GOB"&amp;CHAR(10)&amp;"Probenahme"</f>
        <v>GOB
Probenahme</v>
      </c>
      <c r="B2" s="56" t="str">
        <f>IF(gob_proben_anzahl&gt;0,"Bit. gebundener Oberbau:","")</f>
        <v>Bit. gebundener Oberbau:</v>
      </c>
      <c r="C2" s="56"/>
      <c r="D2" s="56"/>
      <c r="E2" s="56"/>
      <c r="F2" s="56"/>
      <c r="G2" s="56"/>
      <c r="H2" s="56"/>
      <c r="J2" s="65"/>
      <c r="K2" s="6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556</v>
      </c>
    </row>
    <row r="3" spans="1:26" ht="14.1" customHeight="1" x14ac:dyDescent="0.25">
      <c r="A3" s="54"/>
      <c r="B3" s="61"/>
      <c r="C3" s="61"/>
      <c r="D3" s="61"/>
      <c r="E3" s="61"/>
      <c r="F3" s="61"/>
      <c r="G3" s="61"/>
      <c r="H3" s="61"/>
      <c r="J3" s="66" t="s">
        <v>190</v>
      </c>
      <c r="K3" s="66"/>
      <c r="M3" s="45" t="s">
        <v>549</v>
      </c>
      <c r="N3" s="41">
        <f>COUNTIF(Combined_Data_Table[[SAMPLE.AUFSCHLUSS]:[SAMPLE.AUFSCHLUSS]],"="&amp;N2)</f>
        <v>7</v>
      </c>
      <c r="O3" s="41">
        <f>COUNTIF(Combined_Data_Table[[SAMPLE.AUFSCHLUSS]:[SAMPLE.AUFSCHLUSS]],"="&amp;O2)</f>
        <v>2</v>
      </c>
      <c r="P3" s="41">
        <f>COUNTIF(Combined_Data_Table[[SAMPLE.AUFSCHLUSS]:[SAMPLE.AUFSCHLUSS]],"="&amp;P2)</f>
        <v>1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574</v>
      </c>
    </row>
    <row r="4" spans="1:26" ht="14.1" customHeight="1" x14ac:dyDescent="0.25">
      <c r="A4" s="54"/>
      <c r="B4" s="42" t="str">
        <f>IF(AND(gob_ueberschrift&lt;&gt;"",gob_erster_punkt&lt;&gt;""),"-","")</f>
        <v>-</v>
      </c>
      <c r="C4" s="61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61"/>
      <c r="E4" s="61"/>
      <c r="F4" s="61"/>
      <c r="G4" s="61"/>
      <c r="H4" s="61"/>
      <c r="J4" s="46" t="s">
        <v>563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546</v>
      </c>
      <c r="N4" s="41">
        <f>COUNTIFS(
Combined_Data_Table[[SAMPLE.AUFSCHLUSS]:[SAMPLE.AUFSCHLUSS]],"="&amp;N2,
Combined_Data_Table[[PROBE.PECH_QUALITATIV]:[PROBE.PECH_QUALITATIV]],"&lt;&gt;"&amp;"")</f>
        <v>3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575</v>
      </c>
    </row>
    <row r="5" spans="1:26" ht="14.1" customHeight="1" x14ac:dyDescent="0.25">
      <c r="A5" s="54"/>
      <c r="B5" s="42" t="str">
        <f>IF(AND(gob_ueberschrift&lt;&gt;"",gob_erster_punkt&lt;&gt;"",gob_zweiter_punkt&lt;&gt;""),"-","")</f>
        <v>-</v>
      </c>
      <c r="C5" s="61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61"/>
      <c r="E5" s="61"/>
      <c r="F5" s="61"/>
      <c r="G5" s="61"/>
      <c r="H5" s="61"/>
      <c r="J5" s="46" t="s">
        <v>564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548</v>
      </c>
      <c r="N5" s="41">
        <f>COUNTIFS(
Combined_Data_Table[[SAMPLE.AUFSCHLUSS]:[SAMPLE.AUFSCHLUSS]],"="&amp;N2,
Combined_Data_Table[[PROBE.PECH_HALBQUANTITATIV]:[PROBE.PECH_HALBQUANTITATIV]],"&lt;&gt;"&amp;"")</f>
        <v>3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576</v>
      </c>
    </row>
    <row r="6" spans="1:26" ht="14.1" customHeight="1" thickBot="1" x14ac:dyDescent="0.3">
      <c r="A6" s="55"/>
      <c r="B6" s="42" t="str">
        <f>IF(AND(gob_ueberschrift&lt;&gt;"",gob_erster_punkt&lt;&gt;"",gob_zweiter_punkt&lt;&gt;"",gob_dritter_punkt&lt;&gt;""),"-","")</f>
        <v>-</v>
      </c>
      <c r="C6" s="61" t="str">
        <f>IF(
gob_ueberschrift&lt;&gt;"",
IF(AND(gob_pechnachweis_text&lt;&gt;"",gob_zweiter_punkt=gob_pechnachweis_text,gob_ruk_text&lt;&gt;""),gob_ruk_text,""),"")</f>
        <v>Erweichungspunkt RuK, Deckschicht</v>
      </c>
      <c r="D6" s="61"/>
      <c r="E6" s="61"/>
      <c r="F6" s="61"/>
      <c r="G6" s="61"/>
      <c r="H6" s="61"/>
      <c r="J6" s="46" t="s">
        <v>565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547</v>
      </c>
      <c r="N6" s="41">
        <f>COUNTIFS(
Combined_Data_Table[[SAMPLE.AUFSCHLUSS]:[SAMPLE.AUFSCHLUSS]],"="&amp;N2,
Combined_Data_Table[[PROBE.PECH_QUANTITATIV]:[PROBE.PECH_QUANTITATIV]],"&lt;&gt;"&amp;"")</f>
        <v>3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58" t="str">
        <f t="shared" ref="B7" si="0">IF(C7&lt;&gt;"","-","")</f>
        <v/>
      </c>
      <c r="C7" s="58"/>
      <c r="D7" s="58"/>
      <c r="E7" s="58"/>
      <c r="F7" s="58"/>
      <c r="G7" s="58"/>
      <c r="H7" s="58"/>
      <c r="M7" s="45" t="s">
        <v>550</v>
      </c>
      <c r="N7" s="41">
        <f>COUNTIFS(
Combined_Data_Table[[SAMPLE.AUFSCHLUSS]:[SAMPLE.AUFSCHLUSS]],"="&amp;N2,
Combined_Data_Table[[PARAMETER.RUK.ID]:[PARAMETER.RUK.ID]],"&lt;&gt;"&amp;"")</f>
        <v>3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0" t="str">
        <f>"TOB"&amp;CHAR(10)&amp;"Probenahme"</f>
        <v>TOB
Probenahme</v>
      </c>
      <c r="B8" s="56" t="str">
        <f>IF(tob_proben_anzahl&gt;0,"Tragschicht ohne Bindemittel:","")</f>
        <v>Tragschicht ohne Bindemittel:</v>
      </c>
      <c r="C8" s="56"/>
      <c r="D8" s="56"/>
      <c r="E8" s="56"/>
      <c r="F8" s="56"/>
      <c r="G8" s="56"/>
      <c r="H8" s="56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0"/>
      <c r="B9" s="57"/>
      <c r="C9" s="57"/>
      <c r="D9" s="57"/>
      <c r="E9" s="57"/>
      <c r="F9" s="57"/>
      <c r="G9" s="57"/>
      <c r="H9" s="57"/>
      <c r="J9" s="66" t="s">
        <v>231</v>
      </c>
      <c r="K9" s="66"/>
      <c r="M9" s="45" t="s">
        <v>551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0"/>
      <c r="B10" s="42" t="str">
        <f>IF(AND(tob_ueberschrift&lt;&gt;"",tob_erster_punkt&lt;&gt;""),"-","")</f>
        <v>-</v>
      </c>
      <c r="C10" s="62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62"/>
      <c r="E10" s="62"/>
      <c r="F10" s="62"/>
      <c r="G10" s="62"/>
      <c r="H10" s="62"/>
      <c r="M10" s="45" t="s">
        <v>552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0"/>
      <c r="B11" s="42" t="str">
        <f>IF(AND(tob_ueberschrift&lt;&gt;"",tob_erster_punkt&lt;&gt;"",tob_zweiter_punkt&lt;&gt;""),"-","")</f>
        <v/>
      </c>
      <c r="C11" s="62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/>
      </c>
      <c r="D11" s="62"/>
      <c r="E11" s="62"/>
      <c r="F11" s="62"/>
      <c r="G11" s="62"/>
      <c r="H11" s="62"/>
      <c r="M11" s="45" t="s">
        <v>555</v>
      </c>
      <c r="N11" s="41">
        <f>COUNTIFS(
Combined_Data_Table[[SAMPLE.AUFSCHLUSS]:[SAMPLE.AUFSCHLUSS]],"="&amp;N2,
Combined_Data_Table[[PARAMETER.LP.ID]:[PARAMETER.LP.ID]],"&lt;&gt;"&amp;"")</f>
        <v>2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0"/>
      <c r="B12" s="42" t="str">
        <f>IF(AND(tob_ueberschrift&lt;&gt;"",tob_erster_punkt&lt;&gt;"",tob_zweiter_punkt&lt;&gt;"",C12&lt;&gt;""),"-","")</f>
        <v/>
      </c>
      <c r="C12" s="61" t="str">
        <f>IF(
tob_ueberschrift&lt;&gt;"",
IF(AND(tob_schichtdicke_text&lt;&gt;"",tob_zweiter_punkt=tob_schichtdicke_text,tob_korngroessenverteilung_text&lt;&gt;""),tob_korngroessenverteilung_text,""),"")</f>
        <v/>
      </c>
      <c r="D12" s="61"/>
      <c r="E12" s="61"/>
      <c r="F12" s="61"/>
      <c r="G12" s="61"/>
      <c r="H12" s="61"/>
      <c r="J12" s="46" t="s">
        <v>566</v>
      </c>
      <c r="K12" s="40" t="str">
        <f>IF(tob_lp&gt;0,"Plattendruckversuch, dynamisch","")</f>
        <v>Plattendruckversuch, dynamisch</v>
      </c>
      <c r="M12" s="45" t="s">
        <v>556</v>
      </c>
      <c r="N12" s="41">
        <f>COUNTIFS(
Combined_Data_Table[[SAMPLE.AUFSCHLUSS]:[SAMPLE.AUFSCHLUSS]],"="&amp;N2,
Combined_Data_Table[[SAMPLE.DICKE]:[SAMPLE.DICKE]],"&lt;&gt;"&amp;"")</f>
        <v>3</v>
      </c>
      <c r="O12" s="41">
        <f>COUNTIFS(
Combined_Data_Table[[SAMPLE.AUFSCHLUSS]:[SAMPLE.AUFSCHLUSS]],"="&amp;O2,
Combined_Data_Table[[SAMPLE.DICKE]:[SAMPLE.DICKE]],"&lt;&gt;"&amp;"")</f>
        <v>0</v>
      </c>
      <c r="P12" s="41">
        <f>COUNTIFS(
Combined_Data_Table[[SAMPLE.AUFSCHLUSS]:[SAMPLE.AUFSCHLUSS]],"="&amp;P2,
Combined_Data_Table[[SAMPLE.DICKE]:[SAMPLE.DICKE]],"&lt;&gt;"&amp;"")</f>
        <v>0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0"/>
      <c r="B13" s="42" t="s">
        <v>562</v>
      </c>
      <c r="C13" s="61" t="s">
        <v>558</v>
      </c>
      <c r="D13" s="61"/>
      <c r="E13" s="61"/>
      <c r="F13" s="61"/>
      <c r="G13" s="61"/>
      <c r="H13" s="61"/>
      <c r="J13" s="46" t="s">
        <v>567</v>
      </c>
      <c r="K13" s="40" t="str">
        <f>IF(tob_schichtdicke&gt;0,"Schichtdicke (materialspezifisch)","")</f>
        <v/>
      </c>
      <c r="M13" s="45" t="s">
        <v>557</v>
      </c>
      <c r="N13" s="41">
        <f>COUNTIFS(
Combined_Data_Table[[SAMPLE.AUFSCHLUSS]:[SAMPLE.AUFSCHLUSS]],"="&amp;N2,
Combined_Data_Table[[SAMPLE.KORNGROESSENVERTEILUNG]:[SAMPLE.KORNGROESSENVERTEILUNG]],"&lt;&gt;"&amp;"")</f>
        <v>3</v>
      </c>
      <c r="O13" s="41">
        <f>COUNTIFS(
Combined_Data_Table[[SAMPLE.AUFSCHLUSS]:[SAMPLE.AUFSCHLUSS]],"="&amp;O2,
Combined_Data_Table[[SAMPLE.KORNGROESSENVERTEILUNG]:[SAMPLE.KORNGROESSENVERTEILUNG]],"&lt;&gt;"&amp;"")</f>
        <v>0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0"/>
      <c r="B14" s="42" t="s">
        <v>562</v>
      </c>
      <c r="C14" s="61" t="s">
        <v>559</v>
      </c>
      <c r="D14" s="61"/>
      <c r="E14" s="61"/>
      <c r="F14" s="61"/>
      <c r="G14" s="61"/>
      <c r="H14" s="61"/>
      <c r="J14" s="46" t="s">
        <v>568</v>
      </c>
      <c r="K14" s="40" t="str">
        <f>IF(tob_korngroessenverteilung&gt;0,"Korngrößenverteilung","")</f>
        <v/>
      </c>
    </row>
    <row r="15" spans="1:26" ht="14.1" customHeight="1" x14ac:dyDescent="0.2">
      <c r="A15" s="60"/>
      <c r="B15" s="42" t="s">
        <v>562</v>
      </c>
      <c r="C15" s="61" t="s">
        <v>570</v>
      </c>
      <c r="D15" s="61"/>
      <c r="E15" s="61"/>
      <c r="F15" s="61"/>
      <c r="G15" s="61"/>
      <c r="H15" s="61"/>
    </row>
    <row r="16" spans="1:26" ht="14.1" customHeight="1" x14ac:dyDescent="0.2">
      <c r="A16" s="60"/>
      <c r="B16" s="42" t="s">
        <v>562</v>
      </c>
      <c r="C16" s="61" t="s">
        <v>560</v>
      </c>
      <c r="D16" s="61"/>
      <c r="E16" s="61"/>
      <c r="F16" s="61"/>
      <c r="G16" s="61"/>
      <c r="H16" s="61"/>
      <c r="J16" s="43"/>
      <c r="L16" s="43"/>
      <c r="M16" s="43"/>
      <c r="N16" s="43"/>
      <c r="O16" s="43"/>
    </row>
    <row r="17" spans="1:12" ht="14.1" customHeight="1" x14ac:dyDescent="0.25">
      <c r="A17" s="60"/>
      <c r="B17" s="42" t="s">
        <v>562</v>
      </c>
      <c r="C17" s="61" t="s">
        <v>561</v>
      </c>
      <c r="D17" s="61"/>
      <c r="E17" s="61"/>
      <c r="F17" s="61"/>
      <c r="G17" s="61"/>
      <c r="H17" s="61"/>
      <c r="J17" s="66" t="s">
        <v>248</v>
      </c>
      <c r="K17" s="66"/>
    </row>
    <row r="18" spans="1:12" ht="14.25" customHeight="1" x14ac:dyDescent="0.2">
      <c r="A18" s="60"/>
      <c r="B18" s="58"/>
      <c r="C18" s="58"/>
      <c r="D18" s="58"/>
      <c r="E18" s="58"/>
      <c r="F18" s="58"/>
      <c r="G18" s="58"/>
      <c r="H18" s="58"/>
    </row>
    <row r="19" spans="1:12" ht="14.25" customHeight="1" x14ac:dyDescent="0.2">
      <c r="A19" s="60"/>
      <c r="B19" s="59" t="s">
        <v>572</v>
      </c>
      <c r="C19" s="59"/>
      <c r="D19" s="59"/>
      <c r="E19" s="59"/>
      <c r="F19" s="59"/>
      <c r="G19" s="59"/>
      <c r="H19" s="59"/>
    </row>
    <row r="20" spans="1:12" x14ac:dyDescent="0.2">
      <c r="A20" s="60"/>
      <c r="B20" s="59"/>
      <c r="C20" s="59"/>
      <c r="D20" s="59"/>
      <c r="E20" s="59"/>
      <c r="F20" s="59"/>
      <c r="G20" s="59"/>
      <c r="H20" s="59"/>
    </row>
    <row r="21" spans="1:12" x14ac:dyDescent="0.2">
      <c r="A21" s="60"/>
      <c r="B21" s="59"/>
      <c r="C21" s="59"/>
      <c r="D21" s="59"/>
      <c r="E21" s="59"/>
      <c r="F21" s="59"/>
      <c r="G21" s="59"/>
      <c r="H21" s="59"/>
    </row>
    <row r="22" spans="1:12" x14ac:dyDescent="0.2">
      <c r="B22" s="57"/>
      <c r="C22" s="57"/>
      <c r="D22" s="57"/>
      <c r="E22" s="57"/>
      <c r="F22" s="57"/>
      <c r="G22" s="57"/>
      <c r="H22" s="57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56" t="s">
        <v>571</v>
      </c>
      <c r="C26" s="56"/>
      <c r="D26" s="56"/>
      <c r="E26" s="56"/>
      <c r="F26" s="56"/>
      <c r="G26" s="56"/>
      <c r="H26" s="56"/>
      <c r="J26" s="39"/>
      <c r="K26" s="39"/>
      <c r="L26" s="39"/>
    </row>
    <row r="27" spans="1:12" x14ac:dyDescent="0.2">
      <c r="B27" s="57"/>
      <c r="C27" s="57"/>
      <c r="D27" s="57"/>
      <c r="E27" s="57"/>
      <c r="F27" s="57"/>
      <c r="G27" s="57"/>
      <c r="H27" s="57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67"/>
      <c r="K47" s="67"/>
      <c r="L47" s="67"/>
    </row>
    <row r="48" spans="3:12" x14ac:dyDescent="0.2">
      <c r="I48" s="67"/>
      <c r="J48" s="64"/>
      <c r="K48" s="64"/>
      <c r="L48" s="64"/>
    </row>
    <row r="49" spans="9:9" x14ac:dyDescent="0.2">
      <c r="I49" s="67"/>
    </row>
    <row r="50" spans="9:9" x14ac:dyDescent="0.2">
      <c r="I50" s="67"/>
    </row>
    <row r="51" spans="9:9" x14ac:dyDescent="0.2">
      <c r="I51" s="67"/>
    </row>
  </sheetData>
  <mergeCells count="31"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G4" sqref="G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490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437</v>
      </c>
      <c r="N2" s="22" t="s">
        <v>438</v>
      </c>
      <c r="O2" s="22" t="s">
        <v>175</v>
      </c>
      <c r="P2" s="22" t="s">
        <v>177</v>
      </c>
      <c r="Q2" s="22" t="s">
        <v>405</v>
      </c>
      <c r="R2" s="22" t="s">
        <v>406</v>
      </c>
      <c r="S2" s="22" t="s">
        <v>107</v>
      </c>
      <c r="T2" s="22" t="s">
        <v>108</v>
      </c>
      <c r="U2" s="22" t="s">
        <v>184</v>
      </c>
      <c r="V2" s="22" t="s">
        <v>481</v>
      </c>
      <c r="W2" s="22" t="s">
        <v>482</v>
      </c>
      <c r="X2" s="22" t="s">
        <v>483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351</v>
      </c>
      <c r="AD2" s="22" t="s">
        <v>454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484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403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485</v>
      </c>
      <c r="Y4" t="s">
        <v>267</v>
      </c>
      <c r="Z4" t="s">
        <v>504</v>
      </c>
      <c r="AA4" t="s">
        <v>470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407</v>
      </c>
      <c r="S5" t="s">
        <v>238</v>
      </c>
      <c r="T5" t="s">
        <v>266</v>
      </c>
      <c r="X5" t="s">
        <v>239</v>
      </c>
      <c r="AA5" t="s">
        <v>472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Listen'!$AI$2:$AI$102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3" sqref="C3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492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493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Q1" activePane="topRight" state="frozen"/>
      <selection activeCell="F37" sqref="F37"/>
      <selection pane="topRight" activeCell="R3" sqref="R3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458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314</v>
      </c>
      <c r="Y2" s="25" t="s">
        <v>315</v>
      </c>
      <c r="Z2" s="25" t="s">
        <v>316</v>
      </c>
      <c r="AA2" s="25" t="s">
        <v>317</v>
      </c>
      <c r="AB2" s="25" t="s">
        <v>318</v>
      </c>
      <c r="AC2" s="25" t="s">
        <v>319</v>
      </c>
      <c r="AD2" s="25" t="s">
        <v>320</v>
      </c>
      <c r="AE2" s="25" t="s">
        <v>321</v>
      </c>
      <c r="AF2" s="25" t="s">
        <v>322</v>
      </c>
      <c r="AG2" s="25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475</v>
      </c>
      <c r="E3" t="s">
        <v>338</v>
      </c>
      <c r="F3" t="s">
        <v>336</v>
      </c>
      <c r="G3" t="s">
        <v>337</v>
      </c>
      <c r="H3" t="s">
        <v>339</v>
      </c>
      <c r="I3" s="8" t="s">
        <v>340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>"EXPLORATION"</f>
        <v>EXPLORATION</v>
      </c>
      <c r="C4">
        <v>2</v>
      </c>
      <c r="D4" s="20" t="s">
        <v>476</v>
      </c>
      <c r="I4" s="8"/>
      <c r="N4" s="9" t="s">
        <v>480</v>
      </c>
      <c r="O4" s="8"/>
    </row>
    <row r="5" spans="1:33" x14ac:dyDescent="0.25">
      <c r="A5" t="s">
        <v>518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G12"/>
  <sheetViews>
    <sheetView tabSelected="1" zoomScale="130" zoomScaleNormal="130" workbookViewId="0">
      <pane xSplit="9" topLeftCell="J1" activePane="topRight" state="frozen"/>
      <selection pane="topRight" activeCell="L14" sqref="L14"/>
    </sheetView>
  </sheetViews>
  <sheetFormatPr baseColWidth="10" defaultColWidth="9.140625" defaultRowHeight="15" x14ac:dyDescent="0.25"/>
  <cols>
    <col min="1" max="1" width="5.140625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6" width="13.5703125" customWidth="1"/>
    <col min="17" max="17" width="7.85546875" bestFit="1" customWidth="1"/>
    <col min="18" max="18" width="32.42578125" bestFit="1" customWidth="1"/>
    <col min="19" max="19" width="8.85546875" bestFit="1" customWidth="1"/>
    <col min="20" max="20" width="13" bestFit="1" customWidth="1"/>
    <col min="21" max="21" width="14.28515625" bestFit="1" customWidth="1"/>
    <col min="22" max="22" width="16" bestFit="1" customWidth="1"/>
    <col min="23" max="23" width="17.7109375" bestFit="1" customWidth="1"/>
    <col min="24" max="24" width="19.28515625" bestFit="1" customWidth="1"/>
    <col min="25" max="25" width="8.7109375" bestFit="1" customWidth="1"/>
    <col min="26" max="26" width="13.85546875" bestFit="1" customWidth="1"/>
    <col min="27" max="27" width="15.140625" bestFit="1" customWidth="1"/>
    <col min="28" max="28" width="10.7109375" bestFit="1" customWidth="1"/>
    <col min="29" max="29" width="29.5703125" bestFit="1" customWidth="1"/>
    <col min="30" max="30" width="19.28515625" bestFit="1" customWidth="1"/>
    <col min="31" max="31" width="32.7109375" bestFit="1" customWidth="1"/>
    <col min="32" max="32" width="28.140625" bestFit="1" customWidth="1"/>
    <col min="33" max="33" width="20.7109375" bestFit="1" customWidth="1"/>
  </cols>
  <sheetData>
    <row r="1" spans="1:33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458</v>
      </c>
      <c r="G2" s="27" t="s">
        <v>8</v>
      </c>
      <c r="H2" s="27" t="s">
        <v>75</v>
      </c>
      <c r="I2" s="27" t="s">
        <v>76</v>
      </c>
      <c r="J2" s="27" t="s">
        <v>77</v>
      </c>
      <c r="K2" s="27" t="s">
        <v>78</v>
      </c>
      <c r="L2" s="27" t="s">
        <v>79</v>
      </c>
      <c r="M2" s="27" t="s">
        <v>80</v>
      </c>
      <c r="N2" s="27" t="s">
        <v>81</v>
      </c>
      <c r="O2" s="27" t="s">
        <v>82</v>
      </c>
      <c r="P2" s="27" t="s">
        <v>84</v>
      </c>
      <c r="Q2" s="27" t="s">
        <v>85</v>
      </c>
      <c r="R2" s="27" t="s">
        <v>86</v>
      </c>
      <c r="S2" s="27" t="s">
        <v>87</v>
      </c>
      <c r="T2" s="27" t="s">
        <v>88</v>
      </c>
      <c r="U2" s="27" t="s">
        <v>89</v>
      </c>
      <c r="V2" s="27" t="s">
        <v>90</v>
      </c>
      <c r="W2" s="27" t="s">
        <v>91</v>
      </c>
      <c r="X2" s="27" t="s">
        <v>92</v>
      </c>
      <c r="Y2" s="27" t="s">
        <v>93</v>
      </c>
      <c r="Z2" s="27" t="s">
        <v>47</v>
      </c>
      <c r="AA2" s="27" t="s">
        <v>94</v>
      </c>
      <c r="AB2" s="27" t="s">
        <v>95</v>
      </c>
      <c r="AC2" s="27" t="s">
        <v>96</v>
      </c>
      <c r="AD2" s="27" t="s">
        <v>97</v>
      </c>
      <c r="AE2" s="27" t="s">
        <v>98</v>
      </c>
    </row>
    <row r="3" spans="1:33" x14ac:dyDescent="0.25">
      <c r="A3" t="str">
        <f>"SE"&amp;ROW()-1</f>
        <v>SE2</v>
      </c>
      <c r="B3" t="s">
        <v>0</v>
      </c>
      <c r="C3" t="s">
        <v>343</v>
      </c>
      <c r="D3" t="s">
        <v>468</v>
      </c>
      <c r="E3" t="s">
        <v>469</v>
      </c>
      <c r="F3" t="str">
        <f t="shared" ref="F3:F12" si="0">"LAYER"</f>
        <v>LAYER</v>
      </c>
      <c r="G3">
        <v>1</v>
      </c>
      <c r="H3" t="s">
        <v>190</v>
      </c>
      <c r="I3" t="s">
        <v>189</v>
      </c>
      <c r="J3" t="s">
        <v>311</v>
      </c>
      <c r="L3">
        <v>12</v>
      </c>
      <c r="M3">
        <f ca="1">Erkundungsstelle.Sample.Table[[#This Row],[TIEFE_ENDE]]-Erkundungsstelle.Sample.Table[[#This Row],[DICKE]]</f>
        <v>0</v>
      </c>
      <c r="N3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12</v>
      </c>
      <c r="O3" t="s">
        <v>220</v>
      </c>
      <c r="P3" t="s">
        <v>216</v>
      </c>
      <c r="Q3" t="s">
        <v>449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450</v>
      </c>
      <c r="AC3" t="s">
        <v>450</v>
      </c>
      <c r="AD3" t="s">
        <v>220</v>
      </c>
      <c r="AE3" t="s">
        <v>450</v>
      </c>
    </row>
    <row r="4" spans="1:33" x14ac:dyDescent="0.25">
      <c r="A4" t="str">
        <f t="shared" ref="A4" si="1">"SE"&amp;ROW()-1</f>
        <v>SE3</v>
      </c>
      <c r="B4" t="s">
        <v>0</v>
      </c>
      <c r="C4" t="s">
        <v>3</v>
      </c>
      <c r="D4" t="s">
        <v>468</v>
      </c>
      <c r="F4" t="str">
        <f t="shared" si="0"/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>
        <f ca="1">Erkundungsstelle.Sample.Table[[#This Row],[TIEFE_ENDE]]-Erkundungsstelle.Sample.Table[[#This Row],[DICKE]]</f>
        <v>12</v>
      </c>
      <c r="N4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15</v>
      </c>
      <c r="O4" t="s">
        <v>191</v>
      </c>
      <c r="P4" t="s">
        <v>233</v>
      </c>
      <c r="Q4" t="s">
        <v>442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451</v>
      </c>
      <c r="AC4" t="s">
        <v>451</v>
      </c>
      <c r="AD4" t="s">
        <v>191</v>
      </c>
      <c r="AE4" t="s">
        <v>451</v>
      </c>
    </row>
    <row r="5" spans="1:33" x14ac:dyDescent="0.25">
      <c r="A5" t="str">
        <f t="shared" ref="A5:A12" si="2">"SE"&amp;ROW()-1</f>
        <v>SE4</v>
      </c>
      <c r="B5" t="s">
        <v>0</v>
      </c>
      <c r="C5" t="s">
        <v>3</v>
      </c>
      <c r="D5" t="s">
        <v>468</v>
      </c>
      <c r="E5" t="s">
        <v>469</v>
      </c>
      <c r="F5" t="str">
        <f t="shared" si="0"/>
        <v>LAYER</v>
      </c>
      <c r="G5">
        <v>3</v>
      </c>
      <c r="H5" t="s">
        <v>190</v>
      </c>
      <c r="L5">
        <v>2</v>
      </c>
      <c r="M5">
        <f ca="1">Erkundungsstelle.Sample.Table[[#This Row],[TIEFE_ENDE]]-Erkundungsstelle.Sample.Table[[#This Row],[DICKE]]</f>
        <v>15</v>
      </c>
      <c r="N5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17</v>
      </c>
      <c r="R5" t="s">
        <v>234</v>
      </c>
      <c r="Y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5">
        <v>3</v>
      </c>
    </row>
    <row r="6" spans="1:33" x14ac:dyDescent="0.25">
      <c r="A6" t="str">
        <f t="shared" si="2"/>
        <v>SE5</v>
      </c>
      <c r="B6" t="s">
        <v>0</v>
      </c>
      <c r="C6" t="s">
        <v>343</v>
      </c>
      <c r="D6" t="s">
        <v>468</v>
      </c>
      <c r="E6" t="s">
        <v>469</v>
      </c>
      <c r="F6" t="str">
        <f t="shared" si="0"/>
        <v>LAYER</v>
      </c>
      <c r="G6">
        <v>4</v>
      </c>
      <c r="H6" t="s">
        <v>231</v>
      </c>
      <c r="L6">
        <v>6</v>
      </c>
      <c r="M6">
        <f ca="1">Erkundungsstelle.Sample.Table[[#This Row],[TIEFE_ENDE]]-Erkundungsstelle.Sample.Table[[#This Row],[DICKE]]</f>
        <v>17</v>
      </c>
      <c r="N6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23</v>
      </c>
      <c r="Y6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6" t="str">
        <f>IF(Erkundungsstelle.Sample.Table[[#This Row],[PECH]]="JA","auffällig",IF(Erkundungsstelle.Sample.Table[[#This Row],[ART]]&lt;&gt;"","neutral",""))</f>
        <v/>
      </c>
    </row>
    <row r="7" spans="1:33" x14ac:dyDescent="0.25">
      <c r="A7" t="str">
        <f t="shared" si="2"/>
        <v>SE6</v>
      </c>
      <c r="B7" t="s">
        <v>471</v>
      </c>
      <c r="F7" t="str">
        <f t="shared" si="0"/>
        <v>LAYER</v>
      </c>
      <c r="G7">
        <v>1</v>
      </c>
      <c r="H7" t="s">
        <v>248</v>
      </c>
      <c r="L7">
        <v>8</v>
      </c>
      <c r="M7">
        <f ca="1">Erkundungsstelle.Sample.Table[[#This Row],[TIEFE_ENDE]]-Erkundungsstelle.Sample.Table[[#This Row],[DICKE]]</f>
        <v>0</v>
      </c>
      <c r="N7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8</v>
      </c>
      <c r="Y7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Z7" t="str">
        <f>IF(Erkundungsstelle.Sample.Table[[#This Row],[PECH]]="JA","auffällig",IF(Erkundungsstelle.Sample.Table[[#This Row],[ART]]&lt;&gt;"","neutral",""))</f>
        <v/>
      </c>
    </row>
    <row r="8" spans="1:33" x14ac:dyDescent="0.25">
      <c r="A8" t="str">
        <f t="shared" si="2"/>
        <v>SE7</v>
      </c>
      <c r="B8" t="s">
        <v>471</v>
      </c>
      <c r="F8" t="str">
        <f t="shared" si="0"/>
        <v>LAYER</v>
      </c>
      <c r="G8">
        <v>2</v>
      </c>
      <c r="H8" t="s">
        <v>190</v>
      </c>
      <c r="L8">
        <v>56</v>
      </c>
      <c r="M8">
        <f ca="1">Erkundungsstelle.Sample.Table[[#This Row],[TIEFE_ENDE]]-Erkundungsstelle.Sample.Table[[#This Row],[DICKE]]</f>
        <v>8</v>
      </c>
      <c r="N8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64</v>
      </c>
      <c r="Y8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8" t="str">
        <f>IF(Erkundungsstelle.Sample.Table[[#This Row],[PECH]]="JA","auffällig",IF(Erkundungsstelle.Sample.Table[[#This Row],[ART]]&lt;&gt;"","neutral",""))</f>
        <v/>
      </c>
    </row>
    <row r="9" spans="1:33" x14ac:dyDescent="0.25">
      <c r="A9" t="str">
        <f t="shared" si="2"/>
        <v>SE8</v>
      </c>
      <c r="B9" t="s">
        <v>471</v>
      </c>
      <c r="F9" t="str">
        <f t="shared" si="0"/>
        <v>LAYER</v>
      </c>
      <c r="G9">
        <v>3</v>
      </c>
      <c r="H9" t="s">
        <v>190</v>
      </c>
      <c r="L9">
        <v>5</v>
      </c>
      <c r="M9">
        <f ca="1">Erkundungsstelle.Sample.Table[[#This Row],[TIEFE_ENDE]]-Erkundungsstelle.Sample.Table[[#This Row],[DICKE]]</f>
        <v>64</v>
      </c>
      <c r="N9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69</v>
      </c>
      <c r="Y9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9" t="str">
        <f>IF(Erkundungsstelle.Sample.Table[[#This Row],[PECH]]="JA","auffällig",IF(Erkundungsstelle.Sample.Table[[#This Row],[ART]]&lt;&gt;"","neutral",""))</f>
        <v/>
      </c>
    </row>
    <row r="10" spans="1:33" x14ac:dyDescent="0.25">
      <c r="A10" t="str">
        <f t="shared" si="2"/>
        <v>SE9</v>
      </c>
      <c r="B10" t="s">
        <v>518</v>
      </c>
      <c r="F10" t="str">
        <f t="shared" si="0"/>
        <v>LAYER</v>
      </c>
      <c r="H10" t="s">
        <v>231</v>
      </c>
      <c r="L10">
        <v>2</v>
      </c>
      <c r="M10">
        <f ca="1">Erkundungsstelle.Sample.Table[[#This Row],[TIEFE_ENDE]]-Erkundungsstelle.Sample.Table[[#This Row],[DICKE]]</f>
        <v>0</v>
      </c>
      <c r="N10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</v>
      </c>
      <c r="Y10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0" t="str">
        <f>IF(Erkundungsstelle.Sample.Table[[#This Row],[PECH]]="JA","auffällig",IF(Erkundungsstelle.Sample.Table[[#This Row],[ART]]&lt;&gt;"","neutral",""))</f>
        <v/>
      </c>
    </row>
    <row r="11" spans="1:33" x14ac:dyDescent="0.25">
      <c r="A11" t="str">
        <f t="shared" si="2"/>
        <v>SE10</v>
      </c>
      <c r="B11" t="s">
        <v>518</v>
      </c>
      <c r="F11" t="str">
        <f t="shared" si="0"/>
        <v>LAYER</v>
      </c>
      <c r="H11" t="s">
        <v>190</v>
      </c>
      <c r="L11">
        <v>3</v>
      </c>
      <c r="M11">
        <f ca="1">Erkundungsstelle.Sample.Table[[#This Row],[TIEFE_ENDE]]-Erkundungsstelle.Sample.Table[[#This Row],[DICKE]]</f>
        <v>2</v>
      </c>
      <c r="N11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5</v>
      </c>
      <c r="Y11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1" t="str">
        <f>IF(Erkundungsstelle.Sample.Table[[#This Row],[PECH]]="JA","auffällig",IF(Erkundungsstelle.Sample.Table[[#This Row],[ART]]&lt;&gt;"","neutral",""))</f>
        <v/>
      </c>
    </row>
    <row r="12" spans="1:33" x14ac:dyDescent="0.25">
      <c r="A12" t="str">
        <f t="shared" si="2"/>
        <v>SE11</v>
      </c>
      <c r="B12" t="s">
        <v>518</v>
      </c>
      <c r="F12" t="str">
        <f t="shared" si="0"/>
        <v>LAYER</v>
      </c>
      <c r="H12" t="s">
        <v>190</v>
      </c>
      <c r="L12">
        <v>1</v>
      </c>
      <c r="M12">
        <f ca="1">Erkundungsstelle.Sample.Table[[#This Row],[TIEFE_ENDE]]-Erkundungsstelle.Sample.Table[[#This Row],[DICKE]]</f>
        <v>5</v>
      </c>
      <c r="N12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</v>
      </c>
      <c r="Y12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2" t="str">
        <f>IF(Erkundungsstelle.Sample.Table[[#This Row],[PECH]]="JA","auffällig",IF(Erkundungsstelle.Sample.Table[[#This Row],[ART]]&lt;&gt;"","neutral",""))</f>
        <v/>
      </c>
    </row>
  </sheetData>
  <mergeCells count="1">
    <mergeCell ref="B1:AG1"/>
  </mergeCells>
  <phoneticPr fontId="1" type="noConversion"/>
  <dataValidations count="20">
    <dataValidation type="list" allowBlank="1" showInputMessage="1" showErrorMessage="1" sqref="E3:E12" xr:uid="{606FD157-69C7-4181-BEEF-39619C01D709}">
      <formula1>LP_ID</formula1>
    </dataValidation>
    <dataValidation type="list" allowBlank="1" showInputMessage="1" showErrorMessage="1" sqref="B3:B12" xr:uid="{9137DDE7-64B6-4EC2-87C7-BBDDB0A58C79}">
      <formula1>ERK_ID</formula1>
    </dataValidation>
    <dataValidation type="list" allowBlank="1" showInputMessage="1" showErrorMessage="1" sqref="D3:D12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1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1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1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1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1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1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1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12" xr:uid="{8DF64396-2A47-4FDF-BCFB-19DF6266431B}">
      <formula1>AUFSCHLUSS_AUSWAHL</formula1>
    </dataValidation>
    <dataValidation type="list" allowBlank="1" showInputMessage="1" showErrorMessage="1" sqref="C3:C1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7"/>
  <sheetViews>
    <sheetView workbookViewId="0">
      <selection activeCell="H21" sqref="H21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458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477</v>
      </c>
      <c r="E2" t="s">
        <v>346</v>
      </c>
      <c r="F2" t="s">
        <v>336</v>
      </c>
      <c r="G2" t="s">
        <v>347</v>
      </c>
      <c r="H2" t="s">
        <v>339</v>
      </c>
      <c r="I2" s="8" t="s">
        <v>340</v>
      </c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458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9" t="s">
        <v>344</v>
      </c>
      <c r="I2" t="s">
        <v>348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9" t="s">
        <v>445</v>
      </c>
      <c r="I3" t="s">
        <v>443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442</v>
      </c>
      <c r="N3" t="s">
        <v>446</v>
      </c>
      <c r="O3" s="9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H23" sqref="H2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458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1:L1048576" xr:uid="{8CDCC3CC-8229-4BFD-8817-7A9A8D721E9D}">
      <formula1>ENTNAHME_AUSWAHL</formula1>
    </dataValidation>
    <dataValidation type="list" errorStyle="information" allowBlank="1" showInputMessage="1" sqref="E11:E1048576" xr:uid="{4C14746D-B56B-48AD-917E-4755FBBF5E40}">
      <formula1>GEBAUDE_BAUTEIL_AUSWAHL</formula1>
    </dataValidation>
    <dataValidation type="list" errorStyle="information" allowBlank="1" showInputMessage="1" sqref="F11:F1048576" xr:uid="{2E1B5F08-DC20-4E81-975A-BE01EA3F3CFD}">
      <formula1>GEBAUDE_CHARAKTER_AUSWAHL</formula1>
    </dataValidation>
    <dataValidation type="list" allowBlank="1" showInputMessage="1" sqref="G11:G1048576" xr:uid="{32892F23-B6B8-4D8B-9360-D2764F4A32C0}">
      <formula1>GEBAUDE_GERUCH_AUSWAHL</formula1>
    </dataValidation>
    <dataValidation type="list" allowBlank="1" showInputMessage="1" sqref="J11:J1048576" xr:uid="{915EE2A1-55E0-4768-84A3-03ABEC565053}">
      <formula1>ETAGEN_AUSWAHL</formula1>
    </dataValidation>
    <dataValidation type="list" allowBlank="1" showInputMessage="1" showErrorMessage="1" sqref="L3:L10" xr:uid="{D22D0BD7-C6FC-4E8C-8CED-77F2D9EDEF9D}">
      <formula1>ENTNAHME_AUSWAHL</formula1>
    </dataValidation>
    <dataValidation type="list" allowBlank="1" showInputMessage="1" showErrorMessage="1" sqref="J2:J10" xr:uid="{F2ACDFCA-3B40-46C0-BCC3-2474FBA54753}">
      <formula1>ETAGEN_AUSWAHL</formula1>
    </dataValidation>
    <dataValidation type="list" allowBlank="1" showInputMessage="1" showErrorMessage="1" sqref="G3:G10" xr:uid="{8CE29388-AFC8-42B9-ADB4-8138C8390CE8}">
      <formula1>GEBAUDE_GERUCH_AUSWAHL</formula1>
    </dataValidation>
    <dataValidation type="list" allowBlank="1" showInputMessage="1" showErrorMessage="1" sqref="F3:F10" xr:uid="{A74925F9-6FC3-4F89-A933-0CB5DF70FBB6}">
      <formula1>GEBAUDE_CHARAKTER_AUSWAHL</formula1>
    </dataValidation>
    <dataValidation type="list" allowBlank="1" showInputMessage="1" showErrorMessage="1" sqref="E3:E10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9" sqref="K9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458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433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I101"/>
  <sheetViews>
    <sheetView topLeftCell="U1" workbookViewId="0">
      <selection activeCell="Y6" sqref="Y6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</cols>
  <sheetData>
    <row r="1" spans="1:35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312</v>
      </c>
      <c r="Y1" s="50" t="s">
        <v>387</v>
      </c>
      <c r="Z1" s="50" t="s">
        <v>388</v>
      </c>
      <c r="AA1" s="50" t="s">
        <v>384</v>
      </c>
      <c r="AB1" s="50" t="s">
        <v>378</v>
      </c>
      <c r="AC1" s="50" t="s">
        <v>389</v>
      </c>
      <c r="AD1" s="51" t="s">
        <v>390</v>
      </c>
      <c r="AE1" s="50" t="s">
        <v>106</v>
      </c>
      <c r="AF1" s="50" t="s">
        <v>176</v>
      </c>
      <c r="AG1" s="50" t="s">
        <v>402</v>
      </c>
      <c r="AH1" s="50" t="s">
        <v>481</v>
      </c>
      <c r="AI1" s="50" t="s">
        <v>482</v>
      </c>
    </row>
    <row r="2" spans="1:35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504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408</v>
      </c>
      <c r="AD2" s="9" t="s">
        <v>366</v>
      </c>
      <c r="AE2" t="s">
        <v>5</v>
      </c>
      <c r="AF2" t="s">
        <v>224</v>
      </c>
      <c r="AG2" t="s">
        <v>403</v>
      </c>
      <c r="AH2" t="s">
        <v>505</v>
      </c>
      <c r="AI2" t="s">
        <v>521</v>
      </c>
    </row>
    <row r="3" spans="1:35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409</v>
      </c>
      <c r="AD3" s="9" t="s">
        <v>399</v>
      </c>
      <c r="AE3" t="s">
        <v>239</v>
      </c>
      <c r="AF3" t="s">
        <v>241</v>
      </c>
      <c r="AG3" t="s">
        <v>404</v>
      </c>
      <c r="AH3" t="s">
        <v>506</v>
      </c>
      <c r="AI3" t="s">
        <v>522</v>
      </c>
    </row>
    <row r="4" spans="1:35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9" t="s">
        <v>480</v>
      </c>
      <c r="V4" t="s">
        <v>258</v>
      </c>
      <c r="W4" t="s">
        <v>270</v>
      </c>
      <c r="X4" t="s">
        <v>690</v>
      </c>
      <c r="Y4" t="s">
        <v>360</v>
      </c>
      <c r="Z4" t="s">
        <v>373</v>
      </c>
      <c r="AA4" t="s">
        <v>376</v>
      </c>
      <c r="AB4" t="s">
        <v>359</v>
      </c>
      <c r="AC4" t="s">
        <v>410</v>
      </c>
      <c r="AD4" s="9" t="s">
        <v>367</v>
      </c>
      <c r="AH4" t="s">
        <v>517</v>
      </c>
      <c r="AI4" t="s">
        <v>523</v>
      </c>
    </row>
    <row r="5" spans="1:35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411</v>
      </c>
      <c r="AD5" s="9" t="s">
        <v>400</v>
      </c>
      <c r="AH5" t="s">
        <v>484</v>
      </c>
      <c r="AI5" t="s">
        <v>524</v>
      </c>
    </row>
    <row r="6" spans="1:35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9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424</v>
      </c>
      <c r="AD6" s="9" t="s">
        <v>401</v>
      </c>
      <c r="AH6" t="s">
        <v>507</v>
      </c>
      <c r="AI6" t="s">
        <v>525</v>
      </c>
    </row>
    <row r="7" spans="1:35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425</v>
      </c>
      <c r="AD7" s="9" t="s">
        <v>392</v>
      </c>
      <c r="AH7" t="s">
        <v>508</v>
      </c>
      <c r="AI7" t="s">
        <v>485</v>
      </c>
    </row>
    <row r="8" spans="1:35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426</v>
      </c>
      <c r="AD8" s="9" t="s">
        <v>362</v>
      </c>
      <c r="AH8" t="s">
        <v>509</v>
      </c>
      <c r="AI8" t="s">
        <v>526</v>
      </c>
    </row>
    <row r="9" spans="1:35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371</v>
      </c>
      <c r="AB9" t="s">
        <v>248</v>
      </c>
      <c r="AC9" t="s">
        <v>427</v>
      </c>
      <c r="AD9" s="9" t="s">
        <v>393</v>
      </c>
      <c r="AH9" t="s">
        <v>510</v>
      </c>
      <c r="AI9" t="s">
        <v>527</v>
      </c>
    </row>
    <row r="10" spans="1:35" x14ac:dyDescent="0.25">
      <c r="A10" t="s">
        <v>294</v>
      </c>
      <c r="E10" t="s">
        <v>295</v>
      </c>
      <c r="V10" t="s">
        <v>598</v>
      </c>
      <c r="W10" t="s">
        <v>247</v>
      </c>
      <c r="Y10" t="s">
        <v>372</v>
      </c>
      <c r="AB10" t="s">
        <v>385</v>
      </c>
      <c r="AC10" t="s">
        <v>412</v>
      </c>
      <c r="AD10" s="9" t="s">
        <v>394</v>
      </c>
      <c r="AH10" t="s">
        <v>511</v>
      </c>
      <c r="AI10" t="s">
        <v>528</v>
      </c>
    </row>
    <row r="11" spans="1:35" x14ac:dyDescent="0.25">
      <c r="A11" s="6" t="s">
        <v>297</v>
      </c>
      <c r="V11" t="s">
        <v>599</v>
      </c>
      <c r="AB11" t="s">
        <v>386</v>
      </c>
      <c r="AC11" t="s">
        <v>413</v>
      </c>
      <c r="AD11" s="9" t="s">
        <v>363</v>
      </c>
      <c r="AH11" t="s">
        <v>512</v>
      </c>
      <c r="AI11" t="s">
        <v>529</v>
      </c>
    </row>
    <row r="12" spans="1:35" x14ac:dyDescent="0.25">
      <c r="V12" t="s">
        <v>600</v>
      </c>
      <c r="AC12" t="s">
        <v>414</v>
      </c>
      <c r="AD12" s="9" t="s">
        <v>395</v>
      </c>
      <c r="AH12" t="s">
        <v>513</v>
      </c>
      <c r="AI12" t="s">
        <v>530</v>
      </c>
    </row>
    <row r="13" spans="1:35" x14ac:dyDescent="0.25">
      <c r="V13" t="s">
        <v>601</v>
      </c>
      <c r="AC13" t="s">
        <v>415</v>
      </c>
      <c r="AD13" s="9" t="s">
        <v>396</v>
      </c>
      <c r="AH13" t="s">
        <v>515</v>
      </c>
      <c r="AI13" t="s">
        <v>531</v>
      </c>
    </row>
    <row r="14" spans="1:35" x14ac:dyDescent="0.25">
      <c r="V14" t="s">
        <v>602</v>
      </c>
      <c r="AC14" t="s">
        <v>416</v>
      </c>
      <c r="AD14" s="9" t="s">
        <v>397</v>
      </c>
      <c r="AH14" t="s">
        <v>514</v>
      </c>
      <c r="AI14" t="s">
        <v>532</v>
      </c>
    </row>
    <row r="15" spans="1:35" x14ac:dyDescent="0.25">
      <c r="V15" t="s">
        <v>603</v>
      </c>
      <c r="AC15" t="s">
        <v>417</v>
      </c>
      <c r="AD15" s="9" t="s">
        <v>398</v>
      </c>
      <c r="AH15" t="s">
        <v>516</v>
      </c>
      <c r="AI15" t="s">
        <v>533</v>
      </c>
    </row>
    <row r="16" spans="1:35" x14ac:dyDescent="0.25">
      <c r="V16" t="s">
        <v>604</v>
      </c>
      <c r="AC16" t="s">
        <v>418</v>
      </c>
      <c r="AD16" s="9" t="s">
        <v>364</v>
      </c>
      <c r="AI16" t="s">
        <v>534</v>
      </c>
    </row>
    <row r="17" spans="22:35" x14ac:dyDescent="0.25">
      <c r="V17" t="s">
        <v>605</v>
      </c>
      <c r="AC17" t="s">
        <v>419</v>
      </c>
      <c r="AD17" s="9" t="s">
        <v>391</v>
      </c>
      <c r="AI17" t="s">
        <v>535</v>
      </c>
    </row>
    <row r="18" spans="22:35" x14ac:dyDescent="0.25">
      <c r="V18" t="s">
        <v>606</v>
      </c>
      <c r="AC18" t="s">
        <v>420</v>
      </c>
      <c r="AD18" s="9" t="s">
        <v>365</v>
      </c>
      <c r="AI18" t="s">
        <v>536</v>
      </c>
    </row>
    <row r="19" spans="22:35" x14ac:dyDescent="0.25">
      <c r="V19" t="s">
        <v>607</v>
      </c>
      <c r="AC19" t="s">
        <v>421</v>
      </c>
      <c r="AI19" t="s">
        <v>537</v>
      </c>
    </row>
    <row r="20" spans="22:35" x14ac:dyDescent="0.25">
      <c r="V20" t="s">
        <v>608</v>
      </c>
      <c r="AC20" t="s">
        <v>422</v>
      </c>
      <c r="AI20" t="s">
        <v>538</v>
      </c>
    </row>
    <row r="21" spans="22:35" x14ac:dyDescent="0.25">
      <c r="V21" t="s">
        <v>609</v>
      </c>
      <c r="AC21" t="s">
        <v>423</v>
      </c>
      <c r="AI21" t="s">
        <v>539</v>
      </c>
    </row>
    <row r="22" spans="22:35" x14ac:dyDescent="0.25">
      <c r="V22" t="s">
        <v>611</v>
      </c>
      <c r="AC22" t="s">
        <v>428</v>
      </c>
      <c r="AI22" t="s">
        <v>540</v>
      </c>
    </row>
    <row r="23" spans="22:35" x14ac:dyDescent="0.25">
      <c r="V23" t="s">
        <v>612</v>
      </c>
      <c r="AC23" t="s">
        <v>429</v>
      </c>
      <c r="AI23" t="s">
        <v>541</v>
      </c>
    </row>
    <row r="24" spans="22:35" x14ac:dyDescent="0.25">
      <c r="V24" t="s">
        <v>613</v>
      </c>
      <c r="AC24" t="s">
        <v>430</v>
      </c>
      <c r="AI24" t="s">
        <v>542</v>
      </c>
    </row>
    <row r="25" spans="22:35" x14ac:dyDescent="0.25">
      <c r="V25" t="s">
        <v>614</v>
      </c>
      <c r="AC25" t="s">
        <v>431</v>
      </c>
    </row>
    <row r="26" spans="22:35" x14ac:dyDescent="0.25">
      <c r="V26" t="s">
        <v>615</v>
      </c>
    </row>
    <row r="27" spans="22:35" x14ac:dyDescent="0.25">
      <c r="V27" t="s">
        <v>616</v>
      </c>
    </row>
    <row r="28" spans="22:35" x14ac:dyDescent="0.25">
      <c r="V28" t="s">
        <v>617</v>
      </c>
    </row>
    <row r="29" spans="22:35" x14ac:dyDescent="0.25">
      <c r="V29" t="s">
        <v>618</v>
      </c>
    </row>
    <row r="30" spans="22:35" x14ac:dyDescent="0.25">
      <c r="V30" t="s">
        <v>610</v>
      </c>
    </row>
    <row r="31" spans="22:35" x14ac:dyDescent="0.25">
      <c r="V31" t="s">
        <v>619</v>
      </c>
    </row>
    <row r="32" spans="22:35" x14ac:dyDescent="0.25">
      <c r="V32" t="s">
        <v>620</v>
      </c>
    </row>
    <row r="33" spans="22:22" x14ac:dyDescent="0.25">
      <c r="V33" t="s">
        <v>621</v>
      </c>
    </row>
    <row r="34" spans="22:22" x14ac:dyDescent="0.25">
      <c r="V34" t="s">
        <v>622</v>
      </c>
    </row>
    <row r="35" spans="22:22" x14ac:dyDescent="0.25">
      <c r="V35" t="s">
        <v>623</v>
      </c>
    </row>
    <row r="36" spans="22:22" x14ac:dyDescent="0.25">
      <c r="V36" t="s">
        <v>624</v>
      </c>
    </row>
    <row r="37" spans="22:22" x14ac:dyDescent="0.25">
      <c r="V37" t="s">
        <v>625</v>
      </c>
    </row>
    <row r="38" spans="22:22" x14ac:dyDescent="0.25">
      <c r="V38" t="s">
        <v>626</v>
      </c>
    </row>
    <row r="39" spans="22:22" x14ac:dyDescent="0.25">
      <c r="V39" t="s">
        <v>627</v>
      </c>
    </row>
    <row r="40" spans="22:22" x14ac:dyDescent="0.25">
      <c r="V40" t="s">
        <v>628</v>
      </c>
    </row>
    <row r="41" spans="22:22" x14ac:dyDescent="0.25">
      <c r="V41" t="s">
        <v>629</v>
      </c>
    </row>
    <row r="42" spans="22:22" x14ac:dyDescent="0.25">
      <c r="V42" t="s">
        <v>630</v>
      </c>
    </row>
    <row r="43" spans="22:22" x14ac:dyDescent="0.25">
      <c r="V43" t="s">
        <v>631</v>
      </c>
    </row>
    <row r="44" spans="22:22" x14ac:dyDescent="0.25">
      <c r="V44" t="s">
        <v>632</v>
      </c>
    </row>
    <row r="45" spans="22:22" x14ac:dyDescent="0.25">
      <c r="V45" t="s">
        <v>633</v>
      </c>
    </row>
    <row r="46" spans="22:22" x14ac:dyDescent="0.25">
      <c r="V46" t="s">
        <v>634</v>
      </c>
    </row>
    <row r="47" spans="22:22" x14ac:dyDescent="0.25">
      <c r="V47" t="s">
        <v>635</v>
      </c>
    </row>
    <row r="48" spans="22:22" x14ac:dyDescent="0.25">
      <c r="V48" t="s">
        <v>636</v>
      </c>
    </row>
    <row r="49" spans="22:22" x14ac:dyDescent="0.25">
      <c r="V49" t="s">
        <v>637</v>
      </c>
    </row>
    <row r="50" spans="22:22" x14ac:dyDescent="0.25">
      <c r="V50" t="s">
        <v>638</v>
      </c>
    </row>
    <row r="51" spans="22:22" x14ac:dyDescent="0.25">
      <c r="V51" t="s">
        <v>639</v>
      </c>
    </row>
    <row r="52" spans="22:22" x14ac:dyDescent="0.25">
      <c r="V52" t="s">
        <v>640</v>
      </c>
    </row>
    <row r="53" spans="22:22" x14ac:dyDescent="0.25">
      <c r="V53" t="s">
        <v>641</v>
      </c>
    </row>
    <row r="54" spans="22:22" x14ac:dyDescent="0.25">
      <c r="V54" t="s">
        <v>642</v>
      </c>
    </row>
    <row r="55" spans="22:22" x14ac:dyDescent="0.25">
      <c r="V55" t="s">
        <v>643</v>
      </c>
    </row>
    <row r="56" spans="22:22" x14ac:dyDescent="0.25">
      <c r="V56" t="s">
        <v>644</v>
      </c>
    </row>
    <row r="57" spans="22:22" x14ac:dyDescent="0.25">
      <c r="V57" t="s">
        <v>645</v>
      </c>
    </row>
    <row r="58" spans="22:22" x14ac:dyDescent="0.25">
      <c r="V58" t="s">
        <v>646</v>
      </c>
    </row>
    <row r="59" spans="22:22" x14ac:dyDescent="0.25">
      <c r="V59" t="s">
        <v>647</v>
      </c>
    </row>
    <row r="60" spans="22:22" x14ac:dyDescent="0.25">
      <c r="V60" t="s">
        <v>648</v>
      </c>
    </row>
    <row r="61" spans="22:22" x14ac:dyDescent="0.25">
      <c r="V61" t="s">
        <v>649</v>
      </c>
    </row>
    <row r="62" spans="22:22" x14ac:dyDescent="0.25">
      <c r="V62" t="s">
        <v>650</v>
      </c>
    </row>
    <row r="63" spans="22:22" x14ac:dyDescent="0.25">
      <c r="V63" t="s">
        <v>651</v>
      </c>
    </row>
    <row r="64" spans="22:22" x14ac:dyDescent="0.25">
      <c r="V64" t="s">
        <v>652</v>
      </c>
    </row>
    <row r="65" spans="22:22" x14ac:dyDescent="0.25">
      <c r="V65" t="s">
        <v>653</v>
      </c>
    </row>
    <row r="66" spans="22:22" x14ac:dyDescent="0.25">
      <c r="V66" t="s">
        <v>654</v>
      </c>
    </row>
    <row r="67" spans="22:22" x14ac:dyDescent="0.25">
      <c r="V67" t="s">
        <v>655</v>
      </c>
    </row>
    <row r="68" spans="22:22" x14ac:dyDescent="0.25">
      <c r="V68" t="s">
        <v>656</v>
      </c>
    </row>
    <row r="69" spans="22:22" x14ac:dyDescent="0.25">
      <c r="V69" t="s">
        <v>657</v>
      </c>
    </row>
    <row r="70" spans="22:22" x14ac:dyDescent="0.25">
      <c r="V70" t="s">
        <v>658</v>
      </c>
    </row>
    <row r="71" spans="22:22" x14ac:dyDescent="0.25">
      <c r="V71" t="s">
        <v>659</v>
      </c>
    </row>
    <row r="72" spans="22:22" x14ac:dyDescent="0.25">
      <c r="V72" t="s">
        <v>660</v>
      </c>
    </row>
    <row r="73" spans="22:22" x14ac:dyDescent="0.25">
      <c r="V73" t="s">
        <v>661</v>
      </c>
    </row>
    <row r="74" spans="22:22" x14ac:dyDescent="0.25">
      <c r="V74" t="s">
        <v>662</v>
      </c>
    </row>
    <row r="75" spans="22:22" x14ac:dyDescent="0.25">
      <c r="V75" t="s">
        <v>663</v>
      </c>
    </row>
    <row r="76" spans="22:22" x14ac:dyDescent="0.25">
      <c r="V76" t="s">
        <v>664</v>
      </c>
    </row>
    <row r="77" spans="22:22" x14ac:dyDescent="0.25">
      <c r="V77" t="s">
        <v>665</v>
      </c>
    </row>
    <row r="78" spans="22:22" x14ac:dyDescent="0.25">
      <c r="V78" t="s">
        <v>666</v>
      </c>
    </row>
    <row r="79" spans="22:22" x14ac:dyDescent="0.25">
      <c r="V79" t="s">
        <v>667</v>
      </c>
    </row>
    <row r="80" spans="22:22" x14ac:dyDescent="0.25">
      <c r="V80" t="s">
        <v>668</v>
      </c>
    </row>
    <row r="81" spans="22:22" x14ac:dyDescent="0.25">
      <c r="V81" t="s">
        <v>669</v>
      </c>
    </row>
    <row r="82" spans="22:22" x14ac:dyDescent="0.25">
      <c r="V82" t="s">
        <v>670</v>
      </c>
    </row>
    <row r="83" spans="22:22" x14ac:dyDescent="0.25">
      <c r="V83" t="s">
        <v>671</v>
      </c>
    </row>
    <row r="84" spans="22:22" x14ac:dyDescent="0.25">
      <c r="V84" t="s">
        <v>672</v>
      </c>
    </row>
    <row r="85" spans="22:22" x14ac:dyDescent="0.25">
      <c r="V85" t="s">
        <v>673</v>
      </c>
    </row>
    <row r="86" spans="22:22" x14ac:dyDescent="0.25">
      <c r="V86" t="s">
        <v>674</v>
      </c>
    </row>
    <row r="87" spans="22:22" x14ac:dyDescent="0.25">
      <c r="V87" t="s">
        <v>675</v>
      </c>
    </row>
    <row r="88" spans="22:22" x14ac:dyDescent="0.25">
      <c r="V88" t="s">
        <v>676</v>
      </c>
    </row>
    <row r="89" spans="22:22" x14ac:dyDescent="0.25">
      <c r="V89" t="s">
        <v>677</v>
      </c>
    </row>
    <row r="90" spans="22:22" x14ac:dyDescent="0.25">
      <c r="V90" t="s">
        <v>678</v>
      </c>
    </row>
    <row r="91" spans="22:22" x14ac:dyDescent="0.25">
      <c r="V91" t="s">
        <v>679</v>
      </c>
    </row>
    <row r="92" spans="22:22" x14ac:dyDescent="0.25">
      <c r="V92" t="s">
        <v>680</v>
      </c>
    </row>
    <row r="93" spans="22:22" x14ac:dyDescent="0.25">
      <c r="V93" t="s">
        <v>681</v>
      </c>
    </row>
    <row r="94" spans="22:22" x14ac:dyDescent="0.25">
      <c r="V94" t="s">
        <v>682</v>
      </c>
    </row>
    <row r="95" spans="22:22" x14ac:dyDescent="0.25">
      <c r="V95" t="s">
        <v>683</v>
      </c>
    </row>
    <row r="96" spans="22:22" x14ac:dyDescent="0.25">
      <c r="V96" t="s">
        <v>684</v>
      </c>
    </row>
    <row r="97" spans="22:22" x14ac:dyDescent="0.25">
      <c r="V97" t="s">
        <v>685</v>
      </c>
    </row>
    <row r="98" spans="22:22" x14ac:dyDescent="0.25">
      <c r="V98" t="s">
        <v>686</v>
      </c>
    </row>
    <row r="99" spans="22:22" x14ac:dyDescent="0.25">
      <c r="V99" t="s">
        <v>687</v>
      </c>
    </row>
    <row r="100" spans="22:22" x14ac:dyDescent="0.25">
      <c r="V100" t="s">
        <v>688</v>
      </c>
    </row>
    <row r="101" spans="22:22" x14ac:dyDescent="0.25">
      <c r="V101" t="s">
        <v>689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32</vt:i4>
      </vt:variant>
    </vt:vector>
  </HeadingPairs>
  <TitlesOfParts>
    <vt:vector size="48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2024-05-08T15:39:08Z</dcterms:modified>
</cp:coreProperties>
</file>