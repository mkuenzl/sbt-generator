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nt\Desktop\SBT\sbt-generator\resources\"/>
    </mc:Choice>
  </mc:AlternateContent>
  <xr:revisionPtr revIDLastSave="0" documentId="13_ncr:1_{C0F437D4-75F4-4BA8-94AF-727222A85B48}" xr6:coauthVersionLast="47" xr6:coauthVersionMax="47" xr10:uidLastSave="{00000000-0000-0000-0000-000000000000}"/>
  <bookViews>
    <workbookView xWindow="-120" yWindow="-120" windowWidth="29040" windowHeight="15840" tabRatio="914" activeTab="5" xr2:uid="{1E01BCA3-435A-488D-9BFC-9A2205937763}"/>
  </bookViews>
  <sheets>
    <sheet name="Daten" sheetId="39" r:id="rId1"/>
    <sheet name="DatenGebaeude" sheetId="38" state="hidden" r:id="rId2"/>
    <sheet name="DatenHaufwerk" sheetId="37" state="hidden" r:id="rId3"/>
    <sheet name="DatenErkundungsstelle" sheetId="36" state="hidden" r:id="rId4"/>
    <sheet name="Überblick" sheetId="42" r:id="rId5"/>
    <sheet name="Chemie" sheetId="33" r:id="rId6"/>
    <sheet name="RuK" sheetId="17" r:id="rId7"/>
    <sheet name="LP" sheetId="18" r:id="rId8"/>
    <sheet name="Untersuchung ERK" sheetId="1" r:id="rId9"/>
    <sheet name="Probe ERK" sheetId="41" r:id="rId10"/>
    <sheet name="Untersuchung HAUF" sheetId="2" r:id="rId11"/>
    <sheet name="Probe HAUF" sheetId="10" r:id="rId12"/>
    <sheet name="Untersuchung GEB" sheetId="3" r:id="rId13"/>
    <sheet name="Probe GEB" sheetId="40" r:id="rId14"/>
    <sheet name="Auswahl Listen" sheetId="29" r:id="rId15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DatenErkundungsstelle!$A$1:$DE$5</definedName>
    <definedName name="ExternalData_2" localSheetId="2" hidden="1">DatenHaufwerk!$A$1:$BF$4</definedName>
    <definedName name="ExternalData_3" localSheetId="1" hidden="1">DatenGebaeude!$A$1:$BG$4</definedName>
    <definedName name="ExternalData_4" localSheetId="0" hidden="1">Daten!$A$1:$DU$11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B3" i="2"/>
  <c r="B5" i="1"/>
  <c r="A3" i="17"/>
  <c r="B3" i="17"/>
  <c r="E3" i="17"/>
  <c r="B5" i="42"/>
  <c r="B4" i="42"/>
  <c r="B3" i="42"/>
  <c r="F13" i="42"/>
  <c r="F12" i="42"/>
  <c r="F11" i="42"/>
  <c r="F10" i="42"/>
  <c r="F9" i="42"/>
  <c r="F8" i="42"/>
  <c r="F7" i="42"/>
  <c r="F6" i="42"/>
  <c r="F5" i="42"/>
  <c r="F4" i="42"/>
  <c r="F3" i="42"/>
  <c r="E2" i="17"/>
  <c r="A3" i="33"/>
  <c r="A4" i="33"/>
  <c r="A5" i="33"/>
  <c r="B4" i="1" l="1"/>
  <c r="D3" i="10" l="1"/>
  <c r="Z3" i="41"/>
  <c r="Z4" i="41"/>
  <c r="Y3" i="41" a="1"/>
  <c r="Y3" i="41" s="1"/>
  <c r="Y4" i="41" a="1"/>
  <c r="Y4" i="41" s="1"/>
  <c r="F4" i="41"/>
  <c r="A4" i="41"/>
  <c r="F3" i="41"/>
  <c r="A3" i="41"/>
  <c r="F2" i="18"/>
  <c r="G2" i="18" s="1"/>
  <c r="B2" i="18"/>
  <c r="A2" i="18"/>
  <c r="B2" i="17"/>
  <c r="A2" i="17"/>
  <c r="N3" i="41" a="1"/>
  <c r="H2" i="18" l="1"/>
  <c r="I2" i="18" s="1"/>
  <c r="C4" i="42"/>
  <c r="C3" i="42"/>
  <c r="C5" i="42"/>
  <c r="N3" i="41"/>
  <c r="A2" i="40"/>
  <c r="A3" i="40"/>
  <c r="F2" i="40"/>
  <c r="F3" i="40"/>
  <c r="D2" i="40"/>
  <c r="D3" i="40"/>
  <c r="D2" i="10"/>
  <c r="B3" i="1"/>
  <c r="B2" i="2"/>
  <c r="B2" i="3"/>
  <c r="B3" i="3"/>
  <c r="K2" i="10" a="1"/>
  <c r="K2" i="10" s="1"/>
  <c r="K3" i="10" a="1"/>
  <c r="K3" i="10" s="1"/>
  <c r="A3" i="10"/>
  <c r="F3" i="10"/>
  <c r="F2" i="10"/>
  <c r="A2" i="10"/>
  <c r="K2" i="40" a="1"/>
  <c r="N4" i="41" a="1"/>
  <c r="K3" i="40" a="1"/>
  <c r="J2" i="18" l="1"/>
  <c r="K2" i="18" s="1"/>
  <c r="N4" i="41"/>
  <c r="M3" i="41"/>
  <c r="K3" i="40"/>
  <c r="J3" i="40" s="1"/>
  <c r="K2" i="40"/>
  <c r="J2" i="40" s="1"/>
  <c r="M4" i="4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8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8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8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8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<sst xmlns="http://schemas.openxmlformats.org/spreadsheetml/2006/main" count="1388" uniqueCount="544">
  <si>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</si>
  <si>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</si>
  <si>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</si>
  <si>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</si>
  <si>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</si>
  <si>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</si>
  <si>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</si>
  <si>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</si>
  <si>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</si>
  <si>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</si>
  <si>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</si>
  <si>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</si>
  <si>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</si>
  <si>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</si>
  <si>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</si>
  <si>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</si>
  <si>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</si>
  <si>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</si>
  <si>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</si>
  <si>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</si>
  <si>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</si>
  <si>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</si>
  <si>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</si>
  <si>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</si>
  <si>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</si>
  <si>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</si>
  <si>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</si>
  <si>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</si>
  <si>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</si>
  <si>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</si>
  <si>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</si>
  <si>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</si>
  <si>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</si>
  <si>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</si>
  <si>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</si>
  <si>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</si>
  <si>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</si>
  <si>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</si>
  <si>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</si>
  <si>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</si>
  <si>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</si>
  <si>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</si>
  <si>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</si>
  <si>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</si>
  <si>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</si>
  <si>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</si>
  <si>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</si>
  <si>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</si>
  <si>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</si>
  <si>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</si>
  <si>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</si>
  <si>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</si>
  <si>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</si>
  <si>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</si>
  <si>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</si>
  <si>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</si>
  <si>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</si>
  <si>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</si>
  <si>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</si>
  <si>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</si>
  <si>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</si>
  <si>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</si>
  <si>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</si>
  <si>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</si>
  <si>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</si>
  <si>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</si>
  <si>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</si>
  <si>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</si>
  <si>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</si>
  <si>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</si>
  <si>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</si>
  <si>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</si>
  <si>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</si>
  <si>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</si>
  <si>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</si>
  <si>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</si>
  <si>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</si>
  <si>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</si>
  <si>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</si>
  <si>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</si>
  <si>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</si>
  <si>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</si>
  <si>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</si>
  <si>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</si>
  <si>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</si>
  <si>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</si>
  <si>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</si>
  <si>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</si>
  <si>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</si>
  <si>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</si>
  <si>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</si>
  <si>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</si>
  <si>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</si>
  <si>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</si>
  <si>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</si>
  <si>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</si>
  <si>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</si>
  <si>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</si>
  <si>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</si>
  <si>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</si>
  <si>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</si>
  <si>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</si>
  <si>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</si>
  <si>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</si>
  <si>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</si>
  <si>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</si>
  <si>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</si>
  <si>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</si>
  <si>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</si>
  <si>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</si>
  <si>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</si>
  <si>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</si>
  <si>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</si>
  <si>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</si>
  <si>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</si>
  <si>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</si>
  <si>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</si>
  <si>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</si>
  <si>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</si>
  <si>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</si>
  <si>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</si>
  <si>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</si>
  <si>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</si>
  <si>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</si>
  <si>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</si>
  <si>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</si>
  <si>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</si>
  <si>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</si>
  <si>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</si>
  <si>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</si>
  <si>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</si>
  <si>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</si>
  <si>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</si>
  <si>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</si>
  <si>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</si>
  <si>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</si>
  <si>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</si>
  <si>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</si>
  <si>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</si>
  <si>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</si>
  <si>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</si>
  <si>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</si>
  <si>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</si>
  <si>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</si>
  <si>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</si>
  <si>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</si>
  <si>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</si>
  <si>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</si>
  <si>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</si>
  <si>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</si>
  <si>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</si>
  <si>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</si>
  <si>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</si>
  <si>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</si>
  <si>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</si>
  <si>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</si>
  <si>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</si>
  <si>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</si>
  <si>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</si>
  <si>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</si>
  <si>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</si>
  <si>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</si>
  <si>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</si>
  <si>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</si>
  <si>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</si>
  <si>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</si>
  <si>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</si>
  <si>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</si>
  <si>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</si>
  <si>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</si>
  <si>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</si>
  <si>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</si>
  <si>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</si>
  <si>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</si>
  <si>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</si>
  <si>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</si>
  <si>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</si>
  <si>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</si>
  <si>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</si>
  <si>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</si>
  <si>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</si>
  <si>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</si>
  <si>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</si>
  <si>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</si>
  <si>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</si>
  <si>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</si>
  <si>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</si>
  <si>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</si>
  <si>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</si>
  <si>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</si>
  <si>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</si>
  <si>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</si>
  <si>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</si>
  <si>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</si>
  <si>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</si>
  <si>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</si>
  <si>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</si>
  <si>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</si>
  <si>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</si>
  <si>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</si>
  <si>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</si>
  <si>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</si>
  <si>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</si>
  <si>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</si>
  <si>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</si>
  <si>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</si>
  <si>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</si>
  <si>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</si>
  <si>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</si>
  <si>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</si>
  <si>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</si>
  <si>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</si>
  <si>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</si>
  <si>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</si>
  <si>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</si>
  <si>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</si>
  <si>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</si>
  <si>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</si>
  <si>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</si>
  <si>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</si>
  <si>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</si>
  <si>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</si>
  <si>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</si>
  <si>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</si>
  <si>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</si>
  <si>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</si>
  <si>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</si>
  <si>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</si>
  <si>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</si>
  <si>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</si>
  <si>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</si>
  <si>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</si>
  <si>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</si>
  <si>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</si>
  <si>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</si>
  <si>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</si>
  <si>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</si>
  <si>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</si>
  <si>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</si>
  <si>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</si>
  <si>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</si>
  <si>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</si>
  <si>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</si>
  <si>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</si>
  <si>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</si>
  <si>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</si>
  <si>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</si>
  <si>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</si>
  <si>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</si>
  <si>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</si>
  <si>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</si>
  <si>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</si>
  <si>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</si>
  <si>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</si>
  <si>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</si>
  <si>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</si>
  <si>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</si>
  <si>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</si>
  <si>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</si>
  <si>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</si>
  <si>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</si>
  <si>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</si>
  <si>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</si>
  <si>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</si>
  <si>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</si>
  <si>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</si>
  <si>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</si>
  <si>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</si>
  <si>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</si>
  <si>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</si>
  <si>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</si>
  <si>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</si>
  <si>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</si>
  <si>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</si>
  <si>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</si>
  <si>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</si>
  <si>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</si>
  <si>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</si>
  <si>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</si>
  <si>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</si>
  <si>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</si>
  <si>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</si>
  <si>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</si>
  <si>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</si>
  <si>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</si>
  <si>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</si>
  <si>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</si>
  <si>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</si>
  <si>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</si>
  <si>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</si>
  <si>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</si>
  <si>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</si>
  <si>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</si>
  <si>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</si>
  <si>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</si>
  <si>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</si>
  <si>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</si>
  <si>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</si>
  <si>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</si>
  <si>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</si>
  <si>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</si>
  <si>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</si>
  <si>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</si>
  <si>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</si>
  <si>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</si>
  <si>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</si>
  <si>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</si>
  <si>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</si>
  <si>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</si>
  <si>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</si>
  <si>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</si>
  <si>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</si>
  <si>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</si>
  <si>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</si>
  <si>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</si>
  <si>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</si>
  <si>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</si>
  <si>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</si>
  <si>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</si>
  <si>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</si>
  <si>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</si>
  <si>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</si>
  <si>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</si>
  <si>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</si>
  <si>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</si>
  <si>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</si>
  <si>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</si>
  <si>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</si>
  <si>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</si>
  <si>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</si>
  <si>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</si>
  <si>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</si>
  <si>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</si>
  <si>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</si>
  <si>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</si>
  <si>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</si>
  <si>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</si>
  <si>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</si>
  <si>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</si>
  <si>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</si>
  <si>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</si>
  <si>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</si>
  <si>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</si>
  <si>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</si>
  <si>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</si>
  <si>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</si>
  <si>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</si>
  <si>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</si>
  <si>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</si>
  <si>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</si>
  <si>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</si>
  <si>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</si>
  <si>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</si>
  <si>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</si>
  <si>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</si>
  <si>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</si>
  <si>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</si>
  <si>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</si>
  <si>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</si>
  <si>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</si>
  <si>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</si>
  <si>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</si>
  <si>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</si>
  <si>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</si>
  <si>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</si>
  <si>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</si>
  <si>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</si>
  <si>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</si>
  <si>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</si>
  <si>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</si>
  <si>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</si>
  <si>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</si>
  <si>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</si>
  <si>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</si>
  <si>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</si>
  <si>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</si>
  <si>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</si>
  <si>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</si>
  <si>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</si>
  <si>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</si>
  <si>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</si>
  <si>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</si>
  <si>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</si>
  <si>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</si>
  <si>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</si>
  <si>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</si>
  <si>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</si>
  <si>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</si>
  <si>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</si>
  <si>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</si>
  <si>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</si>
  <si>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</si>
  <si>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</si>
  <si>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</si>
  <si>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</si>
  <si>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</si>
  <si>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</si>
  <si>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</si>
  <si>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</si>
  <si>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</si>
  <si>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</si>
  <si>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</si>
  <si>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</si>
  <si>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</si>
  <si>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</si>
  <si>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</si>
  <si>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</si>
  <si>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</si>
  <si>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</si>
  <si>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</si>
  <si>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</si>
  <si>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</si>
  <si>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</si>
  <si>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</si>
  <si>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</si>
  <si>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</si>
  <si>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</si>
  <si>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</si>
  <si>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</si>
  <si>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</si>
  <si>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</si>
  <si>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</si>
  <si>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</si>
  <si>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</si>
  <si>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</si>
  <si>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</si>
  <si>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</si>
  <si>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</si>
  <si>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</si>
  <si>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</si>
  <si>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</si>
  <si>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</si>
  <si>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</si>
  <si>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</si>
  <si>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</si>
  <si>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</si>
  <si>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</si>
  <si>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</si>
  <si>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</si>
  <si>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</si>
  <si>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</si>
  <si>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</si>
  <si>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</si>
  <si>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</si>
  <si>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</si>
  <si>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</si>
  <si>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</si>
  <si>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</si>
  <si>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</si>
  <si>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</si>
  <si>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</si>
  <si>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</si>
  <si>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</si>
  <si>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</si>
  <si>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</si>
  <si>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</si>
  <si>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</si>
  <si>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</si>
  <si>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</si>
  <si>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</si>
  <si>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</si>
  <si>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</si>
  <si>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</si>
  <si>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</si>
  <si>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</si>
  <si>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</si>
  <si>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</si>
  <si>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</si>
  <si>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</si>
  <si>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</si>
  <si>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</si>
  <si>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</si>
  <si>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</si>
  <si>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</si>
  <si>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</si>
  <si>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</si>
  <si>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19.08.2022</t>
  </si>
  <si>
    <t>19.08.2023</t>
  </si>
  <si>
    <t>17.08.2021</t>
  </si>
  <si>
    <t>30.11.2020</t>
  </si>
  <si>
    <t>SE3</t>
  </si>
  <si>
    <t>1,0</t>
  </si>
  <si>
    <t>EBV_BODEN</t>
  </si>
  <si>
    <t>EBV_BAUSCHUTT</t>
  </si>
  <si>
    <t>EBV_UEBERWACHUNGSWERT</t>
  </si>
  <si>
    <t>BM-F1</t>
  </si>
  <si>
    <t>HOS-2</t>
  </si>
  <si>
    <t>PARAMETER.CHEMISTRY.EBV_BODEN</t>
  </si>
  <si>
    <t>PARAMETER.CHEMISTRY.EBV_BAUSCHUTT</t>
  </si>
  <si>
    <t>PARAMETER.CHEMISTRY.EBV_UEBERWACHUNGSWERT</t>
  </si>
  <si>
    <t>1</t>
  </si>
  <si>
    <t>MKUEM</t>
  </si>
  <si>
    <t>PARAMETER.CHEMISTRY.MKUEM</t>
  </si>
  <si>
    <t>&gt; 77°C</t>
  </si>
  <si>
    <t>Bewertung</t>
  </si>
  <si>
    <t>LP</t>
  </si>
  <si>
    <t>Untersuchung</t>
  </si>
  <si>
    <t>Erkundung</t>
  </si>
  <si>
    <t>Versuche</t>
  </si>
  <si>
    <t>min</t>
  </si>
  <si>
    <t>max</t>
  </si>
  <si>
    <t>Aufschluss</t>
  </si>
  <si>
    <t>Statistik</t>
  </si>
  <si>
    <t>mittel</t>
  </si>
  <si>
    <t>RuK</t>
  </si>
  <si>
    <t>DK 0</t>
  </si>
  <si>
    <t>BM-0</t>
  </si>
  <si>
    <t>BM-0*</t>
  </si>
  <si>
    <t>BM-F2</t>
  </si>
  <si>
    <t>BM-F3</t>
  </si>
  <si>
    <t>&gt;BM-F3</t>
  </si>
  <si>
    <t>BG-0</t>
  </si>
  <si>
    <t>BG-0*</t>
  </si>
  <si>
    <t>BG-F0*</t>
  </si>
  <si>
    <t>BG-F1</t>
  </si>
  <si>
    <t>BG-F3</t>
  </si>
  <si>
    <t>BG-F2</t>
  </si>
  <si>
    <t>&gt;BG-F3</t>
  </si>
  <si>
    <t>BM-F0*</t>
  </si>
  <si>
    <t>FB5</t>
  </si>
  <si>
    <t>01.01.2021</t>
  </si>
  <si>
    <t>05.05.2021</t>
  </si>
  <si>
    <t>RC-1</t>
  </si>
  <si>
    <t>RC-2</t>
  </si>
  <si>
    <t>RC-3</t>
  </si>
  <si>
    <t>&gt;RC-3</t>
  </si>
  <si>
    <t>HOS-1</t>
  </si>
  <si>
    <t>GS-0</t>
  </si>
  <si>
    <t>GS-1</t>
  </si>
  <si>
    <t>GS-2</t>
  </si>
  <si>
    <t>GS-3</t>
  </si>
  <si>
    <t>HS</t>
  </si>
  <si>
    <t>SWS-1</t>
  </si>
  <si>
    <t>SWS-2</t>
  </si>
  <si>
    <t>GKOS</t>
  </si>
  <si>
    <t>CUM-1</t>
  </si>
  <si>
    <t>CUM-2</t>
  </si>
  <si>
    <t>GRS</t>
  </si>
  <si>
    <t>SKG</t>
  </si>
  <si>
    <t>SKA</t>
  </si>
  <si>
    <t>SFA</t>
  </si>
  <si>
    <t>BFA</t>
  </si>
  <si>
    <t>HMVA-1</t>
  </si>
  <si>
    <t>HMVA-2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</si>
</sst>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0" fontId="0" fillId="7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3" fillId="5" borderId="0" xfId="0" applyFont="1" applyFill="1" applyAlignment="1">
      <alignment vertical="center"/>
    </xf>
    <xf numFmtId="0" fontId="3" fillId="5" borderId="0" xfId="0" applyFont="1" applyFill="1" applyAlignment="1" applyProtection="1">
      <alignment vertical="center"/>
      <protection locked="0"/>
    </xf>
    <xf numFmtId="0" fontId="0" fillId="3" borderId="0" xfId="0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3" fillId="5" borderId="0" xfId="0" applyFont="1" applyFill="1" applyAlignment="1">
      <alignment horizontal="left"/>
    </xf>
    <xf numFmtId="16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8" borderId="4" xfId="0" applyFont="1" applyFill="1" applyBorder="1" applyAlignment="1">
      <alignment horizontal="right" vertical="center"/>
    </xf>
    <xf numFmtId="0" fontId="0" fillId="0" borderId="4" xfId="0" applyBorder="1"/>
    <xf numFmtId="0" fontId="0" fillId="8" borderId="4" xfId="0" applyFill="1" applyBorder="1" applyAlignment="1">
      <alignment horizontal="right"/>
    </xf>
    <xf numFmtId="14" fontId="3" fillId="5" borderId="0" xfId="0" applyNumberFormat="1" applyFont="1" applyFill="1" applyAlignment="1" applyProtection="1">
      <alignment vertical="center"/>
      <protection locked="0"/>
    </xf>
    <xf numFmtId="14" fontId="0" fillId="6" borderId="0" xfId="0" applyNumberFormat="1" applyFill="1" applyAlignment="1" applyProtection="1">
      <alignment horizontal="left"/>
      <protection locked="0"/>
    </xf>
    <xf numFmtId="14" fontId="0" fillId="4" borderId="0" xfId="0" applyNumberFormat="1" applyFill="1" applyAlignment="1" applyProtection="1">
      <alignment horizontal="left"/>
      <protection locked="0"/>
    </xf>
    <xf numFmtId="0" fontId="5" fillId="9" borderId="4" xfId="0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</cellXfs>
  <cellStyles count="1">
    <cellStyle name="Standard" xfId="0" builtinId="0"/>
  </cellStyles>
  <dxfs count="172"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9" formatCode="dd/mm/yyyy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0.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0" formatCode="General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800100</xdr:colOff>
          <xdr:row>2</xdr:row>
          <xdr:rowOff>85725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8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37">
    <queryTableFields count="125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35" name="PARAMETER.CHEMISTRY.MKUEM" tableColumnId="122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28" name="PARAMETER.CHEMISTRY.EBV_BODEN" tableColumnId="123"/>
      <queryTableField id="129" name="PARAMETER.CHEMISTRY.EBV_BAUSCHUTT" tableColumnId="124"/>
      <queryTableField id="130" name="PARAMETER.CHEMISTRY.EBV_UEBERWACHUNGSWERT" tableColumnId="125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71">
    <queryTableFields count="59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69" name="PARAMETER.CHEMISTRY.MKUEM" tableColumnId="56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62" name="PARAMETER.CHEMISTRY.EBV_BODEN" tableColumnId="57"/>
      <queryTableField id="63" name="PARAMETER.CHEMISTRY.EBV_BAUSCHUTT" tableColumnId="58"/>
      <queryTableField id="64" name="PARAMETER.CHEMISTRY.EBV_UEBERWACHUNGSWERT" tableColumnId="59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68">
    <queryTableFields count="58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66" name="PARAMETER.CHEMISTRY.MKUEM" tableColumnId="55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59" name="PARAMETER.CHEMISTRY.EBV_BODEN" tableColumnId="56"/>
      <queryTableField id="60" name="PARAMETER.CHEMISTRY.EBV_BAUSCHUTT" tableColumnId="57"/>
      <queryTableField id="61" name="PARAMETER.CHEMISTRY.EBV_UEBERWACHUNGSWERT" tableColumnId="58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21">
    <queryTableFields count="109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19" name="PARAMETER.CHEMISTRY.MKUEM" tableColumnId="106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12" name="PARAMETER.CHEMISTRY.EBV_BODEN" tableColumnId="107"/>
      <queryTableField id="113" name="PARAMETER.CHEMISTRY.EBV_BAUSCHUTT" tableColumnId="108"/>
      <queryTableField id="114" name="PARAMETER.CHEMISTRY.EBV_UEBERWACHUNGSWERT" tableColumnId="109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U11" tableType="queryTable" totalsRowShown="0">
  <autoFilter ref="A1:DU11" xr:uid="{86F13263-33C7-4F2E-8421-A29B3204617B}"/>
  <tableColumns count="125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71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70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69"/>
    <tableColumn id="71" xr3:uid="{B7D2BA06-4A34-4C68-8818-08707091BD51}" uniqueName="71" name="PARAMETER.LP.EV2" queryTableFieldId="71" dataDxfId="168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67"/>
    <tableColumn id="77" xr3:uid="{A31B4E8D-FF30-4350-8B36-F5A091FA8BE3}" uniqueName="77" name="PARAMETER.CHEMISTRY.ID" queryTableFieldId="77" dataDxfId="166"/>
    <tableColumn id="78" xr3:uid="{6447F090-92FC-4BF7-BB54-7062E3B51531}" uniqueName="78" name="PARAMETER.CHEMISTRY.MUFV" queryTableFieldId="78" dataDxfId="165"/>
    <tableColumn id="79" xr3:uid="{02A2CC25-5CAB-486D-B541-3DE6E66C39B0}" uniqueName="79" name="PARAMETER.CHEMISTRY.MUFV_PARAMETER" queryTableFieldId="79" dataDxfId="164"/>
    <tableColumn id="122" xr3:uid="{6E7BDDB5-0376-4296-942D-E766AD978A15}" uniqueName="122" name="PARAMETER.CHEMISTRY.MKUEM" queryTableFieldId="135"/>
    <tableColumn id="80" xr3:uid="{7807F747-E532-4E88-9A2C-D53E765139AA}" uniqueName="80" name="PARAMETER.CHEMISTRY.ASBEST" queryTableFieldId="80" dataDxfId="163"/>
    <tableColumn id="81" xr3:uid="{4EBADA30-0DF6-499D-AAF0-FC1167D25847}" uniqueName="81" name="PARAMETER.CHEMISTRY.KMF" queryTableFieldId="81" dataDxfId="162"/>
    <tableColumn id="82" xr3:uid="{3B561F5F-2D43-4067-8617-DECD7FB8EA51}" uniqueName="82" name="PARAMETER.CHEMISTRY.PAK" queryTableFieldId="82" dataDxfId="161"/>
    <tableColumn id="83" xr3:uid="{FFB29055-4A3C-457D-A460-0093ABBD6620}" uniqueName="83" name="PARAMETER.CHEMISTRY.PCB" queryTableFieldId="83" dataDxfId="160"/>
    <tableColumn id="84" xr3:uid="{223AB50A-7F5C-4434-976E-67A136FA6D2C}" uniqueName="84" name="PARAMETER.CHEMISTRY.BTEX" queryTableFieldId="84" dataDxfId="159"/>
    <tableColumn id="85" xr3:uid="{DF177C34-7768-423A-BBEE-CB2710E46706}" uniqueName="85" name="PARAMETER.CHEMISTRY.EOX" queryTableFieldId="85" dataDxfId="158"/>
    <tableColumn id="86" xr3:uid="{449C7574-6309-4508-9E06-DA2A5DDB239D}" uniqueName="86" name="PARAMETER.CHEMISTRY.PHENOLE" queryTableFieldId="86" dataDxfId="157"/>
    <tableColumn id="87" xr3:uid="{FA4D0C39-E96A-4B21-9448-CD88C1947C88}" uniqueName="87" name="PARAMETER.CHEMISTRY.ICP_SCREENING" queryTableFieldId="87" dataDxfId="156"/>
    <tableColumn id="88" xr3:uid="{5C31CD76-89C0-4772-832C-EDD96CAF2D7C}" uniqueName="88" name="PARAMETER.CHEMISTRY.MKW_C10_C22" queryTableFieldId="88" dataDxfId="155"/>
    <tableColumn id="89" xr3:uid="{6557DE6D-5F29-4CCB-BEAF-951520533AB7}" uniqueName="89" name="PARAMETER.CHEMISTRY.MKW_C10_C40" queryTableFieldId="89" dataDxfId="154"/>
    <tableColumn id="90" xr3:uid="{56DEE031-2DC4-466F-B6B3-6EFB4A114A06}" uniqueName="90" name="PARAMETER.CHEMISTRY.SULFAT" queryTableFieldId="90" dataDxfId="153"/>
    <tableColumn id="91" xr3:uid="{E331A1BC-B90C-48E4-84AA-6505E483F830}" uniqueName="91" name="PARAMETER.CHEMISTRY.ALTHOLZ_VERORDNUNG" queryTableFieldId="91" dataDxfId="152"/>
    <tableColumn id="92" xr3:uid="{664484A1-1F1D-4631-9229-FA2423019CF7}" uniqueName="92" name="PARAMETER.CHEMISTRY.FCKW" queryTableFieldId="92" dataDxfId="151"/>
    <tableColumn id="93" xr3:uid="{E9955DE5-8EE5-451C-B9B5-47B862F0EBF7}" uniqueName="93" name="PARAMETER.CHEMISTRY.HBCD" queryTableFieldId="93" dataDxfId="150"/>
    <tableColumn id="94" xr3:uid="{99A8AAEB-7F54-443A-9AE4-10239B7B5313}" uniqueName="94" name="PARAMETER.CHEMISTRY.LAGA_BO" queryTableFieldId="94" dataDxfId="149"/>
    <tableColumn id="95" xr3:uid="{40FC5D6C-62C6-452D-85D0-BF8E2B0CA64D}" uniqueName="95" name="PARAMETER.CHEMISTRY.LAGA_RC" queryTableFieldId="95" dataDxfId="148"/>
    <tableColumn id="96" xr3:uid="{5350E1CB-168D-43E2-8174-5307AB2F7FFF}" uniqueName="96" name="PARAMETER.CHEMISTRY.LAGA_RC_ORIENTIERUNGSWERT" queryTableFieldId="96" dataDxfId="147"/>
    <tableColumn id="123" xr3:uid="{AEE7BC75-2AC2-4E3E-919A-8B2A9281030C}" uniqueName="123" name="PARAMETER.CHEMISTRY.EBV_BODEN" queryTableFieldId="128"/>
    <tableColumn id="124" xr3:uid="{29447E83-DD6B-4D7A-B092-862E48C0B753}" uniqueName="124" name="PARAMETER.CHEMISTRY.EBV_BAUSCHUTT" queryTableFieldId="129"/>
    <tableColumn id="125" xr3:uid="{766FEC57-EA26-4D14-924C-6EB94C635C01}" uniqueName="125" name="PARAMETER.CHEMISTRY.EBV_UEBERWACHUNGSWERT" queryTableFieldId="130"/>
    <tableColumn id="97" xr3:uid="{A22C6EC8-A7C8-42A1-A4A5-49F13CDF77E8}" uniqueName="97" name="PARAMETER.CHEMISTRY.TL_GESTEIN" queryTableFieldId="97" dataDxfId="146"/>
    <tableColumn id="98" xr3:uid="{725C7FEA-C159-432A-BBD3-F6031988605E}" uniqueName="98" name="PARAMETER.CHEMISTRY.DEPV" queryTableFieldId="98" dataDxfId="145"/>
    <tableColumn id="99" xr3:uid="{C4872AA8-2C00-433A-97CE-CA0243253F13}" uniqueName="99" name="PARAMETER.CHEMISTRY.ENTSCHEIDUNGSHILFE" queryTableFieldId="99" dataDxfId="144"/>
    <tableColumn id="100" xr3:uid="{4A15FF20-0E7F-4AFB-92FE-AE384507F846}" uniqueName="100" name="PARAMETER.CHEMISTRY.REKU" queryTableFieldId="100" dataDxfId="143"/>
    <tableColumn id="101" xr3:uid="{6DE305E5-8909-4015-B780-8B5EC1734EF0}" uniqueName="101" name="PARAMETER.CHEMISTRY.RUVA" queryTableFieldId="101" dataDxfId="142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41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40"/>
    <tableColumn id="118" xr3:uid="{3BFAA40F-A0BC-48BB-A998-3C0F59055FDF}" uniqueName="118" name="SAMPLE.ABFALLSCHLUESSEL_GEMISCH" queryTableFieldId="118" dataDxfId="13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G4" tableType="queryTable" totalsRowShown="0">
  <autoFilter ref="A1:BG4" xr:uid="{81D0B90E-F6FD-4BFC-9A83-ECE212DBBA6A}"/>
  <tableColumns count="59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38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37"/>
    <tableColumn id="26" xr3:uid="{FC97436C-64A0-41C8-B4BE-9C2242984A2A}" uniqueName="26" name="SAMPLE.ABFALLSCHLUESSEL_GEMISCH" queryTableFieldId="26" dataDxfId="136"/>
    <tableColumn id="27" xr3:uid="{FEC52FA2-705E-42CB-80EC-4928D5325B71}" uniqueName="27" name="PARAMETER.CHEMISTRY.ID" queryTableFieldId="27" dataDxfId="135"/>
    <tableColumn id="28" xr3:uid="{27A4E004-8EAD-421D-9AA3-CF721B6D9A83}" uniqueName="28" name="PARAMETER.CHEMISTRY.MUFV" queryTableFieldId="28" dataDxfId="134"/>
    <tableColumn id="29" xr3:uid="{93606AFB-108E-4FE1-895A-71BB6F3DF64F}" uniqueName="29" name="PARAMETER.CHEMISTRY.MUFV_PARAMETER" queryTableFieldId="29" dataDxfId="133"/>
    <tableColumn id="56" xr3:uid="{BB089D6F-9E56-4FA3-989F-4A75964FD5E2}" uniqueName="56" name="PARAMETER.CHEMISTRY.MKUEM" queryTableFieldId="69"/>
    <tableColumn id="30" xr3:uid="{F78B4E58-D201-4664-9FA5-DFB52507CB65}" uniqueName="30" name="PARAMETER.CHEMISTRY.ASBEST" queryTableFieldId="30" dataDxfId="132"/>
    <tableColumn id="31" xr3:uid="{14D629DF-C709-4790-82B1-CF18C3C6D43E}" uniqueName="31" name="PARAMETER.CHEMISTRY.KMF" queryTableFieldId="31" dataDxfId="131"/>
    <tableColumn id="32" xr3:uid="{0F0061C7-0951-41B7-87CF-A6950CCB314E}" uniqueName="32" name="PARAMETER.CHEMISTRY.PAK" queryTableFieldId="32" dataDxfId="130"/>
    <tableColumn id="33" xr3:uid="{2F939509-A19C-4906-8FC2-BCF88B19BE05}" uniqueName="33" name="PARAMETER.CHEMISTRY.PCB" queryTableFieldId="33" dataDxfId="129"/>
    <tableColumn id="34" xr3:uid="{03BF367E-3FCF-4ECC-A100-B8012E65F100}" uniqueName="34" name="PARAMETER.CHEMISTRY.BTEX" queryTableFieldId="34" dataDxfId="128"/>
    <tableColumn id="35" xr3:uid="{BA3BECE2-FE5C-47CC-970C-F106E733A380}" uniqueName="35" name="PARAMETER.CHEMISTRY.EOX" queryTableFieldId="35" dataDxfId="127"/>
    <tableColumn id="36" xr3:uid="{629BC31F-3BD7-41C8-AEAB-17B0A80F2C92}" uniqueName="36" name="PARAMETER.CHEMISTRY.PHENOLE" queryTableFieldId="36" dataDxfId="126"/>
    <tableColumn id="37" xr3:uid="{68813B17-BB65-4926-BE6A-4716BE7DB98C}" uniqueName="37" name="PARAMETER.CHEMISTRY.ICP_SCREENING" queryTableFieldId="37" dataDxfId="125"/>
    <tableColumn id="38" xr3:uid="{EE16B3EF-DECD-42F8-890C-2C830D731663}" uniqueName="38" name="PARAMETER.CHEMISTRY.MKW_C10_C22" queryTableFieldId="38" dataDxfId="124"/>
    <tableColumn id="39" xr3:uid="{5ABF636F-5B8F-4034-8610-2DCB1D4E5DAB}" uniqueName="39" name="PARAMETER.CHEMISTRY.MKW_C10_C40" queryTableFieldId="39" dataDxfId="123"/>
    <tableColumn id="40" xr3:uid="{8B7F21F1-6D87-4C4E-843F-DEF943284D33}" uniqueName="40" name="PARAMETER.CHEMISTRY.SULFAT" queryTableFieldId="40" dataDxfId="122"/>
    <tableColumn id="41" xr3:uid="{4998777B-9E4E-4BC9-B317-43F694B0F669}" uniqueName="41" name="PARAMETER.CHEMISTRY.ALTHOLZ_VERORDNUNG" queryTableFieldId="41" dataDxfId="121"/>
    <tableColumn id="42" xr3:uid="{2FF936F5-EAC8-48B4-9AA7-737B3728B063}" uniqueName="42" name="PARAMETER.CHEMISTRY.FCKW" queryTableFieldId="42" dataDxfId="120"/>
    <tableColumn id="43" xr3:uid="{FDFBEC0C-E165-43F8-9120-B73BD468C297}" uniqueName="43" name="PARAMETER.CHEMISTRY.HBCD" queryTableFieldId="43" dataDxfId="119"/>
    <tableColumn id="44" xr3:uid="{43420AA0-A5F4-4F3B-8341-DC45675A9502}" uniqueName="44" name="PARAMETER.CHEMISTRY.LAGA_BO" queryTableFieldId="44" dataDxfId="118"/>
    <tableColumn id="45" xr3:uid="{58F1740F-4C9F-431F-9219-439DD02CECC4}" uniqueName="45" name="PARAMETER.CHEMISTRY.LAGA_RC" queryTableFieldId="45" dataDxfId="117"/>
    <tableColumn id="46" xr3:uid="{60A31DD1-B933-49AA-B154-8C44FA3D3F2F}" uniqueName="46" name="PARAMETER.CHEMISTRY.LAGA_RC_ORIENTIERUNGSWERT" queryTableFieldId="46" dataDxfId="116"/>
    <tableColumn id="57" xr3:uid="{4DA3E87F-144D-4B1C-8D29-077452F3E02B}" uniqueName="57" name="PARAMETER.CHEMISTRY.EBV_BODEN" queryTableFieldId="62"/>
    <tableColumn id="58" xr3:uid="{40DB2BC0-18EE-49A2-A109-6E46F77258EA}" uniqueName="58" name="PARAMETER.CHEMISTRY.EBV_BAUSCHUTT" queryTableFieldId="63"/>
    <tableColumn id="59" xr3:uid="{B0AC90FB-6714-41B0-8D0E-F231A1E373B1}" uniqueName="59" name="PARAMETER.CHEMISTRY.EBV_UEBERWACHUNGSWERT" queryTableFieldId="64"/>
    <tableColumn id="47" xr3:uid="{5D44EE28-B9E3-48A0-A2BA-B4E23CE1C2F1}" uniqueName="47" name="PARAMETER.CHEMISTRY.TL_GESTEIN" queryTableFieldId="47" dataDxfId="115"/>
    <tableColumn id="48" xr3:uid="{1639B7A6-5F78-42FC-A430-E662E0FF3BEE}" uniqueName="48" name="PARAMETER.CHEMISTRY.DEPV" queryTableFieldId="48" dataDxfId="114"/>
    <tableColumn id="49" xr3:uid="{6B10F78D-E8F9-41E6-B732-58683EAA26B4}" uniqueName="49" name="PARAMETER.CHEMISTRY.ENTSCHEIDUNGSHILFE" queryTableFieldId="49" dataDxfId="113"/>
    <tableColumn id="50" xr3:uid="{8E2DB51E-5F76-470A-A87D-FB1FE1BEEC83}" uniqueName="50" name="PARAMETER.CHEMISTRY.REKU" queryTableFieldId="50" dataDxfId="112"/>
    <tableColumn id="51" xr3:uid="{C4DE7668-10FF-47BD-8618-85556FE90926}" uniqueName="51" name="PARAMETER.CHEMISTRY.RUVA" queryTableFieldId="51" dataDxfId="111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10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F4" tableType="queryTable" totalsRowShown="0">
  <autoFilter ref="A1:BF4" xr:uid="{9FA7DA7E-599E-4FE3-A11B-7BE3C7C8E473}"/>
  <tableColumns count="58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09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108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107"/>
    <tableColumn id="27" xr3:uid="{902891BF-4C44-4429-AE57-3AAD8935F399}" uniqueName="27" name="PARAMETER.CHEMISTRY.MUFV" queryTableFieldId="27" dataDxfId="106"/>
    <tableColumn id="28" xr3:uid="{0163579B-8675-4915-B82E-5DDFFC21F068}" uniqueName="28" name="PARAMETER.CHEMISTRY.MUFV_PARAMETER" queryTableFieldId="28" dataDxfId="105"/>
    <tableColumn id="55" xr3:uid="{F54CCA40-940C-47B4-824D-C643751E452F}" uniqueName="55" name="PARAMETER.CHEMISTRY.MKUEM" queryTableFieldId="66"/>
    <tableColumn id="29" xr3:uid="{3E687AF0-BFDA-4066-8D85-AC750FB27FDA}" uniqueName="29" name="PARAMETER.CHEMISTRY.ASBEST" queryTableFieldId="29" dataDxfId="104"/>
    <tableColumn id="30" xr3:uid="{71C9984E-D894-44FC-9976-9D93D2D21604}" uniqueName="30" name="PARAMETER.CHEMISTRY.KMF" queryTableFieldId="30" dataDxfId="103"/>
    <tableColumn id="31" xr3:uid="{8B4C8DA6-6572-4699-A05F-09F5E4C19362}" uniqueName="31" name="PARAMETER.CHEMISTRY.PAK" queryTableFieldId="31" dataDxfId="102"/>
    <tableColumn id="32" xr3:uid="{B9B85D41-AFCE-4533-B5E6-24125385408D}" uniqueName="32" name="PARAMETER.CHEMISTRY.PCB" queryTableFieldId="32" dataDxfId="101"/>
    <tableColumn id="33" xr3:uid="{F4507179-85F8-426A-A8E6-400631C082EF}" uniqueName="33" name="PARAMETER.CHEMISTRY.BTEX" queryTableFieldId="33" dataDxfId="100"/>
    <tableColumn id="34" xr3:uid="{F3FA9695-3EFB-421B-9F14-E940B7BAEE97}" uniqueName="34" name="PARAMETER.CHEMISTRY.EOX" queryTableFieldId="34" dataDxfId="99"/>
    <tableColumn id="35" xr3:uid="{CA6C8245-C111-46C2-9973-26638FB0340B}" uniqueName="35" name="PARAMETER.CHEMISTRY.PHENOLE" queryTableFieldId="35" dataDxfId="98"/>
    <tableColumn id="36" xr3:uid="{55CE9F12-B661-4590-8250-B3BFBF790071}" uniqueName="36" name="PARAMETER.CHEMISTRY.ICP_SCREENING" queryTableFieldId="36" dataDxfId="97"/>
    <tableColumn id="37" xr3:uid="{D164A852-28EB-4196-B9BD-1F98D08D34C5}" uniqueName="37" name="PARAMETER.CHEMISTRY.MKW_C10_C22" queryTableFieldId="37" dataDxfId="96"/>
    <tableColumn id="38" xr3:uid="{297CC18C-733C-440E-806A-C6A285362C3F}" uniqueName="38" name="PARAMETER.CHEMISTRY.MKW_C10_C40" queryTableFieldId="38" dataDxfId="95"/>
    <tableColumn id="39" xr3:uid="{080E079B-0396-48D3-8E4D-F432AA3CE2B6}" uniqueName="39" name="PARAMETER.CHEMISTRY.SULFAT" queryTableFieldId="39" dataDxfId="94"/>
    <tableColumn id="40" xr3:uid="{0F406AE1-339B-449F-B1B8-F8BDD57E1A1E}" uniqueName="40" name="PARAMETER.CHEMISTRY.ALTHOLZ_VERORDNUNG" queryTableFieldId="40" dataDxfId="93"/>
    <tableColumn id="41" xr3:uid="{4F984E01-9D95-4FF1-A5E7-7AFCE5900571}" uniqueName="41" name="PARAMETER.CHEMISTRY.FCKW" queryTableFieldId="41" dataDxfId="92"/>
    <tableColumn id="42" xr3:uid="{CD504F65-4317-4929-A9B0-3E95534C4D14}" uniqueName="42" name="PARAMETER.CHEMISTRY.HBCD" queryTableFieldId="42" dataDxfId="91"/>
    <tableColumn id="43" xr3:uid="{EBC9A661-FC40-4D4E-9852-FCCDDB64CEFE}" uniqueName="43" name="PARAMETER.CHEMISTRY.LAGA_BO" queryTableFieldId="43" dataDxfId="90"/>
    <tableColumn id="44" xr3:uid="{87F8EBEA-4032-4611-B364-574506B13F1D}" uniqueName="44" name="PARAMETER.CHEMISTRY.LAGA_RC" queryTableFieldId="44" dataDxfId="89"/>
    <tableColumn id="45" xr3:uid="{D1FA07D6-1F78-4552-AAC1-A43F8A241C15}" uniqueName="45" name="PARAMETER.CHEMISTRY.LAGA_RC_ORIENTIERUNGSWERT" queryTableFieldId="45" dataDxfId="88"/>
    <tableColumn id="56" xr3:uid="{BAF6165F-254A-49E0-A78B-CE28F63DDA11}" uniqueName="56" name="PARAMETER.CHEMISTRY.EBV_BODEN" queryTableFieldId="59"/>
    <tableColumn id="57" xr3:uid="{F810BA5D-3372-46DC-9BCD-2E6246A8ED7E}" uniqueName="57" name="PARAMETER.CHEMISTRY.EBV_BAUSCHUTT" queryTableFieldId="60"/>
    <tableColumn id="58" xr3:uid="{8A2BD100-441A-42CA-8B39-5258EB9FCE73}" uniqueName="58" name="PARAMETER.CHEMISTRY.EBV_UEBERWACHUNGSWERT" queryTableFieldId="61"/>
    <tableColumn id="46" xr3:uid="{EE9E9F84-F22A-4D36-9E69-73379F14B8AC}" uniqueName="46" name="PARAMETER.CHEMISTRY.TL_GESTEIN" queryTableFieldId="46" dataDxfId="87"/>
    <tableColumn id="47" xr3:uid="{61C447EC-A975-407A-AC35-08B9EBA86685}" uniqueName="47" name="PARAMETER.CHEMISTRY.DEPV" queryTableFieldId="47" dataDxfId="86"/>
    <tableColumn id="48" xr3:uid="{C658E730-A7C7-4CE8-ABF0-9884889D6E2C}" uniqueName="48" name="PARAMETER.CHEMISTRY.ENTSCHEIDUNGSHILFE" queryTableFieldId="48" dataDxfId="85"/>
    <tableColumn id="49" xr3:uid="{0E2F03C5-E7E3-4E58-95F2-1B5CCF153376}" uniqueName="49" name="PARAMETER.CHEMISTRY.REKU" queryTableFieldId="49" dataDxfId="84"/>
    <tableColumn id="50" xr3:uid="{D490B33E-7ED1-4745-AFE3-BC2A63A7AA99}" uniqueName="50" name="PARAMETER.CHEMISTRY.RUVA" queryTableFieldId="50" dataDxfId="83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82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E5" tableType="queryTable" totalsRowShown="0">
  <autoFilter ref="A1:DE5" xr:uid="{68B44AD0-D5D7-4E41-9CF9-E2AE554DD388}"/>
  <tableColumns count="109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81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80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79"/>
    <tableColumn id="71" xr3:uid="{B2B0DC0A-4F06-4037-BF53-4869770EDC23}" uniqueName="71" name="PARAMETER.LP.EV2" queryTableFieldId="71" dataDxfId="78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77"/>
    <tableColumn id="77" xr3:uid="{BE683E9B-8FDA-40E0-9D5F-6DE1618EE920}" uniqueName="77" name="PARAMETER.CHEMISTRY.ID" queryTableFieldId="77" dataDxfId="76"/>
    <tableColumn id="78" xr3:uid="{49EFDBAC-19CC-4661-B008-77A9DBA07868}" uniqueName="78" name="PARAMETER.CHEMISTRY.MUFV" queryTableFieldId="78" dataDxfId="75"/>
    <tableColumn id="79" xr3:uid="{0715B054-3D90-4ECF-B353-252F004A4F5B}" uniqueName="79" name="PARAMETER.CHEMISTRY.MUFV_PARAMETER" queryTableFieldId="79" dataDxfId="74"/>
    <tableColumn id="106" xr3:uid="{DE0205BE-F885-4ED2-8401-99C04BD55689}" uniqueName="106" name="PARAMETER.CHEMISTRY.MKUEM" queryTableFieldId="119"/>
    <tableColumn id="80" xr3:uid="{36C55A8A-64FA-4C3C-813E-1FD0EBF52AA9}" uniqueName="80" name="PARAMETER.CHEMISTRY.ASBEST" queryTableFieldId="80" dataDxfId="73"/>
    <tableColumn id="81" xr3:uid="{62A408EB-C7AA-45EB-8EF4-A2E1ECC4C3CC}" uniqueName="81" name="PARAMETER.CHEMISTRY.KMF" queryTableFieldId="81" dataDxfId="72"/>
    <tableColumn id="82" xr3:uid="{62ED9188-F645-41A3-88F0-129B28CEF72F}" uniqueName="82" name="PARAMETER.CHEMISTRY.PAK" queryTableFieldId="82" dataDxfId="71"/>
    <tableColumn id="83" xr3:uid="{19B27EF8-A549-4C1F-9B42-9D430FCAFDFD}" uniqueName="83" name="PARAMETER.CHEMISTRY.PCB" queryTableFieldId="83" dataDxfId="70"/>
    <tableColumn id="84" xr3:uid="{408F9534-9EE6-4547-B5B1-2FBF85B7945F}" uniqueName="84" name="PARAMETER.CHEMISTRY.BTEX" queryTableFieldId="84" dataDxfId="69"/>
    <tableColumn id="85" xr3:uid="{F57E53A5-8FAA-486C-B91D-D459D982FF1A}" uniqueName="85" name="PARAMETER.CHEMISTRY.EOX" queryTableFieldId="85" dataDxfId="68"/>
    <tableColumn id="86" xr3:uid="{D5193380-2EA0-4671-B593-292D080CD9AF}" uniqueName="86" name="PARAMETER.CHEMISTRY.PHENOLE" queryTableFieldId="86" dataDxfId="67"/>
    <tableColumn id="87" xr3:uid="{70FBACBD-54B9-4FF4-98E6-304083C2881B}" uniqueName="87" name="PARAMETER.CHEMISTRY.ICP_SCREENING" queryTableFieldId="87" dataDxfId="66"/>
    <tableColumn id="88" xr3:uid="{8DC2F49B-FB91-43C4-B144-9D71FD8DE9DA}" uniqueName="88" name="PARAMETER.CHEMISTRY.MKW_C10_C22" queryTableFieldId="88" dataDxfId="65"/>
    <tableColumn id="89" xr3:uid="{8C619B32-F2ED-4154-A971-E54C0533BE46}" uniqueName="89" name="PARAMETER.CHEMISTRY.MKW_C10_C40" queryTableFieldId="89" dataDxfId="64"/>
    <tableColumn id="90" xr3:uid="{CBEF3DD2-C9EF-49A2-84C8-2AED4407ED4B}" uniqueName="90" name="PARAMETER.CHEMISTRY.SULFAT" queryTableFieldId="90" dataDxfId="63"/>
    <tableColumn id="91" xr3:uid="{FEA55896-E766-49D4-90F2-914EEDCB0AB2}" uniqueName="91" name="PARAMETER.CHEMISTRY.ALTHOLZ_VERORDNUNG" queryTableFieldId="91" dataDxfId="62"/>
    <tableColumn id="92" xr3:uid="{E7F2BD8B-E27A-4B4F-8A49-93F8BD7D18A0}" uniqueName="92" name="PARAMETER.CHEMISTRY.FCKW" queryTableFieldId="92" dataDxfId="61"/>
    <tableColumn id="93" xr3:uid="{816AEC63-0DEE-4627-8FC7-0E38BBD3281A}" uniqueName="93" name="PARAMETER.CHEMISTRY.HBCD" queryTableFieldId="93" dataDxfId="60"/>
    <tableColumn id="94" xr3:uid="{5D8D0448-FD28-4E36-B3BC-27D314DF815B}" uniqueName="94" name="PARAMETER.CHEMISTRY.LAGA_BO" queryTableFieldId="94" dataDxfId="59"/>
    <tableColumn id="95" xr3:uid="{B9F3D638-C332-49F7-8927-86D91BAC52D8}" uniqueName="95" name="PARAMETER.CHEMISTRY.LAGA_RC" queryTableFieldId="95" dataDxfId="58"/>
    <tableColumn id="96" xr3:uid="{732D813B-F681-4A3D-9F90-E49CDE81F912}" uniqueName="96" name="PARAMETER.CHEMISTRY.LAGA_RC_ORIENTIERUNGSWERT" queryTableFieldId="96" dataDxfId="57"/>
    <tableColumn id="107" xr3:uid="{2016B7D3-CC06-421C-AA00-84237E7C0ACA}" uniqueName="107" name="PARAMETER.CHEMISTRY.EBV_BODEN" queryTableFieldId="112"/>
    <tableColumn id="108" xr3:uid="{7669D625-6663-4B38-A9B3-956071DAC658}" uniqueName="108" name="PARAMETER.CHEMISTRY.EBV_BAUSCHUTT" queryTableFieldId="113"/>
    <tableColumn id="109" xr3:uid="{0D35127C-E99A-4D67-B59C-3E5563C108A3}" uniqueName="109" name="PARAMETER.CHEMISTRY.EBV_UEBERWACHUNGSWERT" queryTableFieldId="114"/>
    <tableColumn id="97" xr3:uid="{49B9CC8A-0EFC-4D0B-A20F-E8A8AE5A5B99}" uniqueName="97" name="PARAMETER.CHEMISTRY.TL_GESTEIN" queryTableFieldId="97" dataDxfId="56"/>
    <tableColumn id="98" xr3:uid="{16CD09D6-B40B-4446-A277-4972A7E14642}" uniqueName="98" name="PARAMETER.CHEMISTRY.DEPV" queryTableFieldId="98" dataDxfId="55"/>
    <tableColumn id="99" xr3:uid="{26DD249C-F520-4939-A0C4-C280C03D0BAE}" uniqueName="99" name="PARAMETER.CHEMISTRY.ENTSCHEIDUNGSHILFE" queryTableFieldId="99" dataDxfId="54"/>
    <tableColumn id="100" xr3:uid="{43436799-932D-409B-93DB-A33E627D925B}" uniqueName="100" name="PARAMETER.CHEMISTRY.REKU" queryTableFieldId="100" dataDxfId="53"/>
    <tableColumn id="101" xr3:uid="{4D536224-BE38-42C2-B331-302398CC0060}" uniqueName="101" name="PARAMETER.CHEMISTRY.RUVA" queryTableFieldId="101" dataDxfId="52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51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E5" totalsRowShown="0" headerRowDxfId="50">
  <autoFilter ref="A2:AE5" xr:uid="{5055F3DA-5118-49AB-94C1-988D940BAC5E}"/>
  <tableColumns count="31">
    <tableColumn id="1" xr3:uid="{CF3E7D7D-2184-43F7-AD26-A5C5DC2DBC0C}" name="ID" dataDxfId="49">
      <calculatedColumnFormula>"C"&amp;ROW()-3</calculatedColumnFormula>
    </tableColumn>
    <tableColumn id="2" xr3:uid="{1FB7B66B-3E06-4F57-84A1-17377703C7A1}" name="MUFV"/>
    <tableColumn id="16" xr3:uid="{F565FB06-F30B-4649-95D8-DD20E060EF16}" name="MUFV_PARAMETER"/>
    <tableColumn id="31" xr3:uid="{71B63CC2-49D0-4E8B-94A1-923D2D04DA60}" name="MKUEM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28" xr3:uid="{CFAC16CD-7787-4F5D-A0A5-64378E9A6EE2}" name="EBV_BODEN"/>
    <tableColumn id="29" xr3:uid="{ADCC9F62-41B7-4547-A481-5243D7392B4D}" name="EBV_BAUSCHUTT"/>
    <tableColumn id="30" xr3:uid="{B5CBFFDE-761C-444B-A761-E3F3ABF75C76}" name="EBV_UEBERWACH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E3" totalsRowShown="0" headerRowDxfId="48">
  <autoFilter ref="A1:E3" xr:uid="{10D35800-9D67-48C4-AD9A-6C0A5709A897}"/>
  <tableColumns count="5">
    <tableColumn id="1" xr3:uid="{8939B6B1-95AF-4C73-877C-EF82136B8050}" name="ID" dataDxfId="47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6"/>
    <tableColumn id="5" xr3:uid="{604BCDB4-4194-4641-B9F8-A66053B7508B}" name="&gt; 77°C" dataDxfId="45">
      <calculatedColumnFormula>IF(Ruk.Table[[#This Row],[WERT]]&gt;77,"Ausreißer","i.O.")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K2" totalsRowShown="0" headerRowDxfId="44">
  <autoFilter ref="A1:K2" xr:uid="{C5B5D589-DA93-4F14-A4A4-7B60407AADCF}"/>
  <tableColumns count="11">
    <tableColumn id="1" xr3:uid="{4F88403B-0C27-4180-BCBE-62627665E7D8}" name="ID" dataDxfId="43">
      <calculatedColumnFormula>"LP"&amp;ROW()-1</calculatedColumnFormula>
    </tableColumn>
    <tableColumn id="2" xr3:uid="{51F153C6-5FF1-44FD-B39F-464F5777D26F}" name="NUMMER" dataDxfId="42">
      <calculatedColumnFormula>ROW()-1</calculatedColumnFormula>
    </tableColumn>
    <tableColumn id="3" xr3:uid="{D635D0C6-EC46-4499-87D8-E68BA2217AC3}" name="WERT_1" dataDxfId="41"/>
    <tableColumn id="4" xr3:uid="{EB4DDFA1-C89E-49B6-A6D9-3E4EE912B328}" name="WERT_2" dataDxfId="40"/>
    <tableColumn id="5" xr3:uid="{675180B4-A186-4E41-9A3F-809597A2D137}" name="WERT_3" dataDxfId="39"/>
    <tableColumn id="6" xr3:uid="{1BCD8931-601C-4036-97BE-6890E0BB8E1A}" name="MITTELWERT" dataDxfId="38">
      <calculatedColumnFormula>IFERROR(AVERAGE(Lp.Table[[#This Row],[WERT_1]:[WERT_3]]),"")</calculatedColumnFormula>
    </tableColumn>
    <tableColumn id="7" xr3:uid="{E52EA34C-9206-4F8E-ADA8-4882EB8536D2}" name="EV" dataDxfId="37">
      <calculatedColumnFormula>IFERROR(ROUND(22.5/Lp.Table[[#This Row],[MITTELWERT]],1),"")</calculatedColumnFormula>
    </tableColumn>
    <tableColumn id="8" xr3:uid="{F82604BB-DC28-42BD-A51D-F8A987DCA29B}" name="EV85" dataDxfId="36">
      <calculatedColumnFormula>IFERROR(ROUND(Lp.Table[[#This Row],[EV]]*0.85,0),"")</calculatedColumnFormula>
    </tableColumn>
    <tableColumn id="9" xr3:uid="{DAF46846-3846-48E2-BAD5-98185ED0BC6A}" name="EV2" dataDxfId="35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calculatedColumnFormula>
    </tableColumn>
    <tableColumn id="10" xr3:uid="{AA071D99-1780-47A0-A0AA-A95524C364E0}" name="EV2_SOLL" dataDxfId="34">
      <calculatedColumnFormula>IF(Lp.Table[[#This Row],[EV2]] &lt;&gt; "",120,"")</calculatedColumnFormula>
    </tableColumn>
    <tableColumn id="11" xr3:uid="{FFEF742E-6D94-4903-BE7F-CF0FBE8E4806}" name="Bewertung" dataDxfId="33">
      <calculatedColumnFormula>IF(Lp.Table[[#This Row],[EV2]]&lt;=Lp.Table[[#This Row],[EV2_SOLL]],"i.O.","n.i.O.")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5" totalsRowShown="0" headerRowDxfId="32">
  <autoFilter ref="A2:AG5" xr:uid="{AB98E13D-EE76-407A-9E41-2FEB0148ED29}"/>
  <tableColumns count="33">
    <tableColumn id="1" xr3:uid="{694A277F-BFC2-43E2-BA7B-9942E6414962}" name="ID"/>
    <tableColumn id="3" xr3:uid="{902726AA-755D-453F-843E-F3D3F46C8599}" name="TYPE" dataDxfId="31">
      <calculatedColumnFormula>"EXPLORATION"</calculatedColumnFormula>
    </tableColumn>
    <tableColumn id="2" xr3:uid="{5E32C2F2-99B1-4F86-B125-5BC77663FE3F}" name="NUMMER"/>
    <tableColumn id="4" xr3:uid="{4963561D-ADA7-4207-B968-F5A9A09EF179}" name="DATUM" dataDxfId="30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9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28"/>
    <tableColumn id="15" xr3:uid="{005F580A-41C6-4E6E-B207-2405CF08B91D}" name="BELASTUNGSKLASSE_TAFEL" dataDxfId="27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E4" totalsRowShown="0" headerRowDxfId="26">
  <autoFilter ref="A2:AE4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5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4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3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22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3" totalsRowShown="0" headerRowDxfId="21">
  <autoFilter ref="A1:I3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20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9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8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7">
      <calculatedColumnFormula>"HAUFWERK"</calculatedColumnFormula>
    </tableColumn>
    <tableColumn id="6" xr3:uid="{1586FA36-B4DE-4684-9D6E-C35C26DEC2A1}" name="ART"/>
    <tableColumn id="20" xr3:uid="{E39EAB2A-0B3D-4A23-B43E-208E3AAE3017}" name="KOERNUNG" dataDxfId="16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5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4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4" totalsRowShown="0" headerRowDxfId="13">
  <autoFilter ref="A1:L4" xr:uid="{783D31A9-0098-428A-BD52-FB14AEB31A8E}"/>
  <tableColumns count="12">
    <tableColumn id="1" xr3:uid="{DFC95AB4-C2C4-4331-914E-D0BA5DE00A0A}" name="ID"/>
    <tableColumn id="12" xr3:uid="{FE9265EA-15AC-41E0-9077-CF0A8D518D4A}" name="TYPE" dataDxfId="12">
      <calculatedColumnFormula>"BUILDING"</calculatedColumnFormula>
    </tableColumn>
    <tableColumn id="2" xr3:uid="{3EEAA087-E8CD-44B3-8DF7-FA0EE5A08610}" name="NUMMER"/>
    <tableColumn id="3" xr3:uid="{A368117F-57A6-414D-A93E-3A6BD44DE902}" name="DATUM" dataDxfId="11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10" headerRowBorderDxfId="9" tableBorderDxfId="8">
  <autoFilter ref="A1:P3" xr:uid="{3730A37C-629E-4550-A01C-455CDD4A615A}"/>
  <tableColumns count="16">
    <tableColumn id="16" xr3:uid="{54D7B85E-0AC3-4C06-8F98-2D052592AE14}" name="ID" dataDxfId="7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6">
      <calculatedColumnFormula>"LAYER"</calculatedColumnFormula>
    </tableColumn>
    <tableColumn id="4" xr3:uid="{E42478A1-49FD-48AB-BAA7-1896B69635A5}" name="NUMMER"/>
    <tableColumn id="5" xr3:uid="{63C7892F-F854-491A-96AB-FE7C93927D92}" name="AUFSCHLUSS" dataDxfId="5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4">
      <calculatedColumnFormula>Gebaeude.Sample.Table[[#This Row],[TIEFE_ENDE]]-Gebaeude.Sample.Table[[#This Row],[DICKE]]</calculatedColumnFormula>
    </tableColumn>
    <tableColumn id="10" xr3:uid="{5CBF7A6E-AC07-4534-A77E-5433494D3ACF}" name="TIEFE_ENDE" dataDxfId="3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D0083F-CDF8-4639-9882-57C0D2FD2BE9}" name="Konstanten" displayName="Konstanten" ref="A1:AI25" totalsRowShown="0" headerRowDxfId="2">
  <autoFilter ref="A1:AI25" xr:uid="{EFD0083F-CDF8-4639-9882-57C0D2FD2BE9}"/>
  <tableColumns count="35">
    <tableColumn id="1" xr3:uid="{9A9E79E9-0557-40FC-BA95-5679D14FC5C0}" name="SCHICHT_AUFSCHLUSS"/>
    <tableColumn id="2" xr3:uid="{31C7F706-AF6E-40F2-B411-8EF9B2D59F94}" name="SCHICHT_BEHAELTNISSE"/>
    <tableColumn id="3" xr3:uid="{D8B9AF04-37C9-4853-B524-BBECB77A94BF}" name="SCHICHT_RUNDUNGSGRAD"/>
    <tableColumn id="4" xr3:uid="{9D700CD7-AC2F-4110-8984-C38CFD76DF6F}" name="SCHICHT_BODENART"/>
    <tableColumn id="5" xr3:uid="{7243EB99-6F59-4F29-90B1-D653850CC8A6}" name="SCHICHT_KONSISTENZ"/>
    <tableColumn id="6" xr3:uid="{1A5345B3-129B-4260-9FF3-0A4AB6D54FCB}" name="SCHICHT_FEUCHTIGKEIT"/>
    <tableColumn id="7" xr3:uid="{C3C28B6C-4D40-463C-B9B6-DB797C8DA7DC}" name="SCHICHT_VERDICHTUNGSFAEHIGKEIT"/>
    <tableColumn id="8" xr3:uid="{41FDC722-66F5-48EF-A35F-04BD7AF65FBB}" name="CHEMIE_MUFV"/>
    <tableColumn id="9" xr3:uid="{02A37CFA-8136-4136-882F-DEDCF9DE2B15}" name="CHEMIE_LAGA_BO"/>
    <tableColumn id="10" xr3:uid="{AAFE3618-8253-4906-B59B-2CC33BE23B67}" name="CHEMIE_LAGA_RC"/>
    <tableColumn id="11" xr3:uid="{64C5D4A8-4DE1-4D20-9781-DDC6FAAE3426}" name="CHEMIE_LAGARC_ORIENTIERUNGSWERT"/>
    <tableColumn id="12" xr3:uid="{77C447A0-2D1D-435B-B1B4-026E9621A70D}" name="CHEMIE_TLGESTEIN"/>
    <tableColumn id="13" xr3:uid="{F8A32CC1-EF63-46A7-BDBD-8F6E3A7168FA}" name="CHEMIE_DEPV"/>
    <tableColumn id="14" xr3:uid="{021115BE-9186-4BE9-8B5F-D26AA2D72D81}" name="CHEMIE_ENTSCHEIDUNGSHILFE"/>
    <tableColumn id="15" xr3:uid="{4C52AEF6-10FE-46A4-B708-8C22F415ED46}" name="CHEMIE_REKU"/>
    <tableColumn id="16" xr3:uid="{16602DA2-753F-4254-93EA-5568F31052C8}" name="CHEMIE_ASBEST"/>
    <tableColumn id="17" xr3:uid="{01D67AF5-9CF9-41E4-A3A7-4DE9A01CC7E9}" name="ERK_AUFSCHLUSS_OB"/>
    <tableColumn id="18" xr3:uid="{B2168CAD-CB70-4C25-9395-FFC3041D5E30}" name="ERK_AUFSCHLUSS_TOB"/>
    <tableColumn id="19" xr3:uid="{B7C685D9-96C8-487A-8CA3-222F4C369CC4}" name="ERK_AUFSCHLUSS_UG_OH_BA"/>
    <tableColumn id="20" xr3:uid="{3C6BCE71-1C03-4D22-B794-7B7E0C8197BD}" name="ERK_OBERKANTE"/>
    <tableColumn id="21" xr3:uid="{9CB5AEAE-D098-4392-A652-15426AD1CAF0}" name="ERK_BELASTUNGSKLASSE" dataDxfId="1"/>
    <tableColumn id="22" xr3:uid="{04A3235E-38DC-4836-8789-BD1E7284D8EA}" name="AUSWAHL_X"/>
    <tableColumn id="23" xr3:uid="{F19E266E-5A46-4AFB-B962-B23D3229ABF0}" name="ERK_FOOTNOTE"/>
    <tableColumn id="24" xr3:uid="{22F7F8C3-E711-4CCB-9663-ACD957DAC67B}" name="RUK_PROBENART"/>
    <tableColumn id="25" xr3:uid="{60F388D1-60EA-4C50-930C-602C856B5130}" name="GEBÄUDE_BAUTEIL"/>
    <tableColumn id="26" xr3:uid="{3D7AFC2E-D4CC-4015-929B-972E3BBA7C53}" name="GEBÄUDE_CHARAKTER"/>
    <tableColumn id="27" xr3:uid="{D1DD99A0-2ECD-4FDE-90A6-6DC0AA5972D9}" name="GEBÄUDE_GERUCH"/>
    <tableColumn id="28" xr3:uid="{F4139DEE-842F-4841-9EEE-4EC2C7AF1509}" name="GEBÄUDE_ETAGEN"/>
    <tableColumn id="29" xr3:uid="{1C4844C9-8E1A-465F-AB4C-70E37388DD14}" name="GEBÄUDE_ENTNAHME"/>
    <tableColumn id="30" xr3:uid="{6C735407-C156-41C8-AEF1-AFC1A115DBE9}" name="GEBÄUDE_AVV" dataDxfId="0"/>
    <tableColumn id="31" xr3:uid="{FFA03A48-0581-4A25-B6FF-1EE022B694A0}" name="LFS"/>
    <tableColumn id="32" xr3:uid="{7734A570-AA65-40FB-8649-5AF80E3E980A}" name="KMF"/>
    <tableColumn id="33" xr3:uid="{7497E135-F0BF-4815-909F-31CAA921FE86}" name="ALTHOLZ"/>
    <tableColumn id="34" xr3:uid="{6632E4C1-645D-448C-B9DF-1AE9D7F10F66}" name="EBV_BODEN"/>
    <tableColumn id="35" xr3:uid="{1D1C9233-0EA2-4EFE-A9B4-49A135842215}" name="EBV_BAUSCHUTT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U11"/>
  <sheetViews>
    <sheetView topLeftCell="CS1" workbookViewId="0">
      <selection activeCell="CX1" sqref="CX1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0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3.140625" bestFit="1" customWidth="1"/>
    <col min="83" max="83" width="32.28515625" bestFit="1" customWidth="1"/>
    <col min="84" max="84" width="29.85546875" bestFit="1" customWidth="1"/>
    <col min="85" max="85" width="29.42578125" bestFit="1" customWidth="1"/>
    <col min="86" max="86" width="29.28515625" bestFit="1" customWidth="1"/>
    <col min="87" max="87" width="30.140625" bestFit="1" customWidth="1"/>
    <col min="88" max="88" width="29.42578125" bestFit="1" customWidth="1"/>
    <col min="89" max="89" width="34.140625" bestFit="1" customWidth="1"/>
    <col min="90" max="90" width="40.140625" bestFit="1" customWidth="1"/>
    <col min="91" max="92" width="39.42578125" bestFit="1" customWidth="1"/>
    <col min="93" max="93" width="32.42578125" bestFit="1" customWidth="1"/>
    <col min="94" max="94" width="48" bestFit="1" customWidth="1"/>
    <col min="95" max="95" width="31.140625" bestFit="1" customWidth="1"/>
    <col min="96" max="96" width="30.7109375" bestFit="1" customWidth="1"/>
    <col min="97" max="97" width="34.42578125" bestFit="1" customWidth="1"/>
    <col min="98" max="98" width="34.140625" bestFit="1" customWidth="1"/>
    <col min="99" max="99" width="55.42578125" bestFit="1" customWidth="1"/>
    <col min="100" max="100" width="36.7109375" bestFit="1" customWidth="1"/>
    <col min="101" max="101" width="41.28515625" bestFit="1" customWidth="1"/>
    <col min="102" max="102" width="52.7109375" bestFit="1" customWidth="1"/>
    <col min="103" max="103" width="36.28515625" bestFit="1" customWidth="1"/>
    <col min="104" max="104" width="30.5703125" bestFit="1" customWidth="1"/>
    <col min="105" max="105" width="46" bestFit="1" customWidth="1"/>
    <col min="106" max="106" width="30.5703125" bestFit="1" customWidth="1"/>
    <col min="107" max="107" width="31" bestFit="1" customWidth="1"/>
    <col min="108" max="108" width="43.140625" bestFit="1" customWidth="1"/>
    <col min="109" max="109" width="28.7109375" bestFit="1" customWidth="1"/>
    <col min="110" max="110" width="20.42578125" bestFit="1" customWidth="1"/>
    <col min="111" max="111" width="18.42578125" bestFit="1" customWidth="1"/>
    <col min="112" max="112" width="17" bestFit="1" customWidth="1"/>
    <col min="113" max="113" width="27.7109375" bestFit="1" customWidth="1"/>
    <col min="114" max="114" width="17.140625" bestFit="1" customWidth="1"/>
    <col min="115" max="115" width="26" bestFit="1" customWidth="1"/>
    <col min="116" max="116" width="19.42578125" bestFit="1" customWidth="1"/>
    <col min="117" max="118" width="15.42578125" bestFit="1" customWidth="1"/>
    <col min="119" max="120" width="20.140625" bestFit="1" customWidth="1"/>
    <col min="121" max="121" width="21.42578125" bestFit="1" customWidth="1"/>
    <col min="122" max="122" width="31.140625" bestFit="1" customWidth="1"/>
    <col min="123" max="123" width="32.28515625" bestFit="1" customWidth="1"/>
    <col min="124" max="124" width="38.5703125" bestFit="1" customWidth="1"/>
    <col min="125" max="125" width="37.85546875" bestFit="1" customWidth="1"/>
    <col min="126" max="126" width="37.85546875" customWidth="1"/>
    <col min="127" max="127" width="38.140625" customWidth="1"/>
  </cols>
  <sheetData>
    <row r="1" spans="1:125" x14ac:dyDescent="0.25">
      <c r="A1" t="s">
        <v>13</v>
      </c>
      <c r="B1" t="s">
        <v>462</v>
      </c>
      <c r="C1" t="s">
        <v>14</v>
      </c>
      <c r="D1" s="20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457</v>
      </c>
      <c r="AM1" t="s">
        <v>463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306</v>
      </c>
      <c r="BT1" s="5" t="s">
        <v>307</v>
      </c>
      <c r="BU1" s="5" t="s">
        <v>308</v>
      </c>
      <c r="BV1" t="s">
        <v>309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492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335</v>
      </c>
      <c r="CL1" t="s">
        <v>179</v>
      </c>
      <c r="CM1" t="s">
        <v>440</v>
      </c>
      <c r="CN1" t="s">
        <v>441</v>
      </c>
      <c r="CO1" t="s">
        <v>180</v>
      </c>
      <c r="CP1" t="s">
        <v>183</v>
      </c>
      <c r="CQ1" t="s">
        <v>436</v>
      </c>
      <c r="CR1" t="s">
        <v>437</v>
      </c>
      <c r="CS1" t="s">
        <v>156</v>
      </c>
      <c r="CT1" t="s">
        <v>157</v>
      </c>
      <c r="CU1" t="s">
        <v>334</v>
      </c>
      <c r="CV1" t="s">
        <v>487</v>
      </c>
      <c r="CW1" t="s">
        <v>488</v>
      </c>
      <c r="CX1" t="s">
        <v>489</v>
      </c>
      <c r="CY1" t="s">
        <v>158</v>
      </c>
      <c r="CZ1" t="s">
        <v>159</v>
      </c>
      <c r="DA1" t="s">
        <v>160</v>
      </c>
      <c r="DB1" t="s">
        <v>161</v>
      </c>
      <c r="DC1" t="s">
        <v>352</v>
      </c>
      <c r="DD1" t="s">
        <v>456</v>
      </c>
      <c r="DE1" t="s">
        <v>155</v>
      </c>
      <c r="DF1" t="s">
        <v>148</v>
      </c>
      <c r="DG1" t="s">
        <v>149</v>
      </c>
      <c r="DH1" t="s">
        <v>18</v>
      </c>
      <c r="DI1" t="s">
        <v>69</v>
      </c>
      <c r="DJ1" t="s">
        <v>70</v>
      </c>
      <c r="DK1" t="s">
        <v>71</v>
      </c>
      <c r="DL1" t="s">
        <v>305</v>
      </c>
      <c r="DM1" t="s">
        <v>72</v>
      </c>
      <c r="DN1" t="s">
        <v>73</v>
      </c>
      <c r="DO1" t="s">
        <v>74</v>
      </c>
      <c r="DP1" t="s">
        <v>147</v>
      </c>
      <c r="DQ1" t="s">
        <v>150</v>
      </c>
      <c r="DR1" t="s">
        <v>435</v>
      </c>
      <c r="DS1" t="s">
        <v>151</v>
      </c>
      <c r="DT1" t="s">
        <v>152</v>
      </c>
      <c r="DU1" t="s">
        <v>302</v>
      </c>
    </row>
    <row r="2" spans="1:125" x14ac:dyDescent="0.25">
      <c r="A2" t="s">
        <v>0</v>
      </c>
      <c r="B2" t="s">
        <v>465</v>
      </c>
      <c r="C2">
        <v>1</v>
      </c>
      <c r="D2" t="s">
        <v>476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458</v>
      </c>
      <c r="AH2" t="s">
        <v>480</v>
      </c>
      <c r="AI2" t="s">
        <v>0</v>
      </c>
      <c r="AJ2" t="s">
        <v>3</v>
      </c>
      <c r="AK2" t="s">
        <v>469</v>
      </c>
      <c r="AM2" t="s">
        <v>461</v>
      </c>
      <c r="AN2">
        <v>2</v>
      </c>
      <c r="AO2" t="s">
        <v>190</v>
      </c>
      <c r="AP2" t="s">
        <v>189</v>
      </c>
      <c r="AQ2" t="s">
        <v>311</v>
      </c>
      <c r="AS2">
        <v>3</v>
      </c>
      <c r="AV2" t="s">
        <v>191</v>
      </c>
      <c r="AW2" t="s">
        <v>233</v>
      </c>
      <c r="AX2" t="s">
        <v>443</v>
      </c>
      <c r="AY2" t="s">
        <v>234</v>
      </c>
      <c r="AZ2" t="s">
        <v>235</v>
      </c>
      <c r="BA2" t="s">
        <v>236</v>
      </c>
      <c r="BB2">
        <v>2</v>
      </c>
      <c r="BC2">
        <v>2</v>
      </c>
      <c r="BF2" t="s">
        <v>449</v>
      </c>
      <c r="BG2" t="s">
        <v>304</v>
      </c>
      <c r="BH2">
        <v>2</v>
      </c>
      <c r="BI2" t="s">
        <v>452</v>
      </c>
      <c r="BJ2" t="s">
        <v>452</v>
      </c>
      <c r="BK2" t="s">
        <v>191</v>
      </c>
      <c r="BL2" t="s">
        <v>452</v>
      </c>
      <c r="BR2"/>
      <c r="BS2"/>
      <c r="BT2" s="5"/>
      <c r="BU2" s="5"/>
      <c r="BW2" t="s">
        <v>469</v>
      </c>
      <c r="BX2">
        <v>1</v>
      </c>
      <c r="BY2" t="s">
        <v>6</v>
      </c>
      <c r="BZ2" s="3">
        <v>77</v>
      </c>
      <c r="CA2" t="s">
        <v>3</v>
      </c>
      <c r="CB2" t="s">
        <v>237</v>
      </c>
      <c r="CD2" t="s">
        <v>237</v>
      </c>
      <c r="CE2" t="s">
        <v>241</v>
      </c>
      <c r="CH2" t="s">
        <v>490</v>
      </c>
      <c r="CI2" t="s">
        <v>490</v>
      </c>
      <c r="CJ2" t="s">
        <v>490</v>
      </c>
      <c r="CK2" t="s">
        <v>490</v>
      </c>
      <c r="CL2" t="s">
        <v>490</v>
      </c>
      <c r="CM2" t="s">
        <v>490</v>
      </c>
      <c r="CN2" t="s">
        <v>490</v>
      </c>
      <c r="CO2" t="s">
        <v>490</v>
      </c>
      <c r="CP2" t="s">
        <v>404</v>
      </c>
      <c r="CQ2" t="s">
        <v>490</v>
      </c>
      <c r="CR2" t="s">
        <v>490</v>
      </c>
      <c r="CS2" t="s">
        <v>221</v>
      </c>
      <c r="CT2" t="s">
        <v>221</v>
      </c>
      <c r="CU2" t="s">
        <v>239</v>
      </c>
      <c r="CW2" t="s">
        <v>486</v>
      </c>
      <c r="CY2" t="s">
        <v>267</v>
      </c>
      <c r="CZ2" t="s">
        <v>505</v>
      </c>
      <c r="DA2" t="s">
        <v>471</v>
      </c>
      <c r="DB2" t="s">
        <v>5</v>
      </c>
      <c r="DC2" t="s">
        <v>490</v>
      </c>
      <c r="DE2" t="s">
        <v>239</v>
      </c>
    </row>
    <row r="3" spans="1:125" x14ac:dyDescent="0.25">
      <c r="A3" t="s">
        <v>0</v>
      </c>
      <c r="B3" t="s">
        <v>465</v>
      </c>
      <c r="C3">
        <v>1</v>
      </c>
      <c r="D3" t="s">
        <v>476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458</v>
      </c>
      <c r="AH3" t="s">
        <v>454</v>
      </c>
      <c r="AI3" t="s">
        <v>0</v>
      </c>
      <c r="AJ3" t="s">
        <v>343</v>
      </c>
      <c r="AL3" t="s">
        <v>470</v>
      </c>
      <c r="AM3" t="s">
        <v>461</v>
      </c>
      <c r="AN3">
        <v>1</v>
      </c>
      <c r="AO3" t="s">
        <v>190</v>
      </c>
      <c r="AP3" t="s">
        <v>189</v>
      </c>
      <c r="AQ3" t="s">
        <v>311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450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303</v>
      </c>
      <c r="BG3" t="s">
        <v>404</v>
      </c>
      <c r="BH3">
        <v>1</v>
      </c>
      <c r="BI3" t="s">
        <v>451</v>
      </c>
      <c r="BJ3" t="s">
        <v>451</v>
      </c>
      <c r="BK3" t="s">
        <v>220</v>
      </c>
      <c r="BL3" t="s">
        <v>451</v>
      </c>
      <c r="BM3" t="s">
        <v>470</v>
      </c>
      <c r="BN3">
        <v>1</v>
      </c>
      <c r="BO3">
        <v>0.42</v>
      </c>
      <c r="BP3">
        <v>0.39</v>
      </c>
      <c r="BQ3">
        <v>0.39</v>
      </c>
      <c r="BR3">
        <v>0.4</v>
      </c>
      <c r="BS3">
        <v>56.3</v>
      </c>
      <c r="BT3" s="5">
        <v>48</v>
      </c>
      <c r="BU3" s="5">
        <v>87</v>
      </c>
      <c r="BV3">
        <v>120</v>
      </c>
      <c r="BX3"/>
      <c r="BZ3" s="3"/>
      <c r="CA3" t="s">
        <v>343</v>
      </c>
      <c r="CB3" t="s">
        <v>4</v>
      </c>
      <c r="CV3" t="s">
        <v>485</v>
      </c>
    </row>
    <row r="4" spans="1:125" x14ac:dyDescent="0.25">
      <c r="A4" t="s">
        <v>472</v>
      </c>
      <c r="B4" t="s">
        <v>465</v>
      </c>
      <c r="C4">
        <v>2</v>
      </c>
      <c r="D4" t="s">
        <v>477</v>
      </c>
      <c r="N4" t="s">
        <v>481</v>
      </c>
      <c r="BR4"/>
      <c r="BS4"/>
      <c r="BT4" s="5"/>
      <c r="BU4" s="5"/>
      <c r="BX4"/>
      <c r="BZ4" s="3"/>
    </row>
    <row r="5" spans="1:125" x14ac:dyDescent="0.25">
      <c r="A5" t="s">
        <v>519</v>
      </c>
      <c r="B5" t="s">
        <v>465</v>
      </c>
      <c r="C5">
        <v>12</v>
      </c>
      <c r="D5" t="s">
        <v>520</v>
      </c>
      <c r="BR5"/>
      <c r="BS5"/>
      <c r="BT5" s="5"/>
      <c r="BU5" s="5"/>
      <c r="BX5"/>
      <c r="BZ5" s="3"/>
    </row>
    <row r="6" spans="1:125" x14ac:dyDescent="0.25">
      <c r="B6" t="s">
        <v>460</v>
      </c>
      <c r="D6" t="s">
        <v>520</v>
      </c>
      <c r="BR6"/>
      <c r="BS6"/>
      <c r="BT6" s="5"/>
      <c r="BU6" s="5"/>
      <c r="BX6"/>
      <c r="BZ6" s="3"/>
    </row>
    <row r="7" spans="1:125" x14ac:dyDescent="0.25">
      <c r="A7" t="s">
        <v>1</v>
      </c>
      <c r="B7" t="s">
        <v>460</v>
      </c>
      <c r="C7">
        <v>1</v>
      </c>
      <c r="D7" t="s">
        <v>478</v>
      </c>
      <c r="E7" t="s">
        <v>346</v>
      </c>
      <c r="F7" t="s">
        <v>336</v>
      </c>
      <c r="G7" t="s">
        <v>347</v>
      </c>
      <c r="H7" t="s">
        <v>339</v>
      </c>
      <c r="I7" t="s">
        <v>340</v>
      </c>
      <c r="AH7" t="s">
        <v>442</v>
      </c>
      <c r="AI7" t="s">
        <v>1</v>
      </c>
      <c r="AJ7" t="s">
        <v>3</v>
      </c>
      <c r="AM7" t="s">
        <v>466</v>
      </c>
      <c r="AN7">
        <v>1</v>
      </c>
      <c r="AO7" t="s">
        <v>313</v>
      </c>
      <c r="AP7" t="s">
        <v>345</v>
      </c>
      <c r="AQ7" t="s">
        <v>344</v>
      </c>
      <c r="AX7" t="s">
        <v>349</v>
      </c>
      <c r="AY7" t="s">
        <v>234</v>
      </c>
      <c r="BD7" t="s">
        <v>350</v>
      </c>
      <c r="BE7" t="s">
        <v>232</v>
      </c>
      <c r="BF7" t="s">
        <v>348</v>
      </c>
      <c r="BG7" t="s">
        <v>304</v>
      </c>
      <c r="BR7"/>
      <c r="BS7"/>
      <c r="BT7" s="5"/>
      <c r="BU7" s="5"/>
      <c r="BX7"/>
      <c r="BZ7" s="3"/>
      <c r="CA7" t="s">
        <v>3</v>
      </c>
      <c r="CB7" t="s">
        <v>237</v>
      </c>
      <c r="CD7" t="s">
        <v>237</v>
      </c>
      <c r="CE7" t="s">
        <v>241</v>
      </c>
      <c r="CH7" t="s">
        <v>490</v>
      </c>
      <c r="CI7" t="s">
        <v>490</v>
      </c>
      <c r="CJ7" t="s">
        <v>490</v>
      </c>
      <c r="CK7" t="s">
        <v>490</v>
      </c>
      <c r="CL7" t="s">
        <v>490</v>
      </c>
      <c r="CM7" t="s">
        <v>490</v>
      </c>
      <c r="CN7" t="s">
        <v>490</v>
      </c>
      <c r="CO7" t="s">
        <v>490</v>
      </c>
      <c r="CP7" t="s">
        <v>404</v>
      </c>
      <c r="CQ7" t="s">
        <v>490</v>
      </c>
      <c r="CR7" t="s">
        <v>490</v>
      </c>
      <c r="CS7" t="s">
        <v>221</v>
      </c>
      <c r="CT7" t="s">
        <v>221</v>
      </c>
      <c r="CU7" t="s">
        <v>239</v>
      </c>
      <c r="CW7" t="s">
        <v>486</v>
      </c>
      <c r="CY7" t="s">
        <v>267</v>
      </c>
      <c r="CZ7" t="s">
        <v>505</v>
      </c>
      <c r="DA7" t="s">
        <v>471</v>
      </c>
      <c r="DB7" t="s">
        <v>5</v>
      </c>
      <c r="DC7" t="s">
        <v>490</v>
      </c>
      <c r="DE7" t="s">
        <v>239</v>
      </c>
      <c r="DF7">
        <v>250</v>
      </c>
      <c r="DG7">
        <v>7</v>
      </c>
    </row>
    <row r="8" spans="1:125" x14ac:dyDescent="0.25">
      <c r="A8" t="s">
        <v>1</v>
      </c>
      <c r="B8" t="s">
        <v>460</v>
      </c>
      <c r="C8">
        <v>1</v>
      </c>
      <c r="D8" t="s">
        <v>478</v>
      </c>
      <c r="E8" t="s">
        <v>346</v>
      </c>
      <c r="F8" t="s">
        <v>336</v>
      </c>
      <c r="G8" t="s">
        <v>347</v>
      </c>
      <c r="H8" t="s">
        <v>339</v>
      </c>
      <c r="I8" t="s">
        <v>340</v>
      </c>
      <c r="AH8" t="s">
        <v>453</v>
      </c>
      <c r="AI8" t="s">
        <v>1</v>
      </c>
      <c r="AJ8" t="s">
        <v>343</v>
      </c>
      <c r="AM8" t="s">
        <v>466</v>
      </c>
      <c r="AN8">
        <v>2</v>
      </c>
      <c r="AO8" t="s">
        <v>313</v>
      </c>
      <c r="AP8" t="s">
        <v>444</v>
      </c>
      <c r="AQ8" t="s">
        <v>446</v>
      </c>
      <c r="AR8" t="s">
        <v>448</v>
      </c>
      <c r="AV8" t="s">
        <v>220</v>
      </c>
      <c r="AX8" t="s">
        <v>443</v>
      </c>
      <c r="AY8" t="s">
        <v>263</v>
      </c>
      <c r="BE8" t="s">
        <v>215</v>
      </c>
      <c r="BF8" t="s">
        <v>444</v>
      </c>
      <c r="BG8" t="s">
        <v>447</v>
      </c>
      <c r="BR8"/>
      <c r="BS8"/>
      <c r="BT8" s="5"/>
      <c r="BU8" s="5"/>
      <c r="BX8"/>
      <c r="BZ8" s="3"/>
      <c r="CA8" t="s">
        <v>343</v>
      </c>
      <c r="CB8" t="s">
        <v>4</v>
      </c>
      <c r="CV8" t="s">
        <v>485</v>
      </c>
      <c r="DF8">
        <v>250</v>
      </c>
      <c r="DG8">
        <v>7</v>
      </c>
    </row>
    <row r="9" spans="1:125" x14ac:dyDescent="0.25">
      <c r="B9" t="s">
        <v>464</v>
      </c>
      <c r="D9" t="s">
        <v>520</v>
      </c>
      <c r="BR9"/>
      <c r="BS9"/>
      <c r="BT9" s="5"/>
      <c r="BU9" s="5"/>
      <c r="BX9"/>
      <c r="BZ9" s="3"/>
    </row>
    <row r="10" spans="1:125" x14ac:dyDescent="0.25">
      <c r="A10" t="s">
        <v>445</v>
      </c>
      <c r="B10" t="s">
        <v>464</v>
      </c>
      <c r="C10">
        <v>0</v>
      </c>
      <c r="D10" t="s">
        <v>521</v>
      </c>
      <c r="AH10" t="s">
        <v>467</v>
      </c>
      <c r="AI10" t="s">
        <v>445</v>
      </c>
      <c r="AM10" t="s">
        <v>461</v>
      </c>
      <c r="AN10">
        <v>1</v>
      </c>
      <c r="AO10" t="s">
        <v>299</v>
      </c>
      <c r="AS10">
        <v>2</v>
      </c>
      <c r="AT10">
        <v>0</v>
      </c>
      <c r="AU10">
        <v>2</v>
      </c>
      <c r="BR10"/>
      <c r="BS10"/>
      <c r="BT10" s="5"/>
      <c r="BU10" s="5"/>
      <c r="BX10"/>
      <c r="BZ10" s="3"/>
    </row>
    <row r="11" spans="1:125" x14ac:dyDescent="0.25">
      <c r="A11" t="s">
        <v>2</v>
      </c>
      <c r="B11" t="s">
        <v>464</v>
      </c>
      <c r="C11">
        <v>1</v>
      </c>
      <c r="D11" t="s">
        <v>479</v>
      </c>
      <c r="AH11" t="s">
        <v>468</v>
      </c>
      <c r="AI11" t="s">
        <v>2</v>
      </c>
      <c r="AJ11" t="s">
        <v>343</v>
      </c>
      <c r="AM11" t="s">
        <v>461</v>
      </c>
      <c r="AN11">
        <v>1</v>
      </c>
      <c r="AO11" t="s">
        <v>299</v>
      </c>
      <c r="AS11">
        <v>3</v>
      </c>
      <c r="AT11">
        <v>0</v>
      </c>
      <c r="AU11">
        <v>3</v>
      </c>
      <c r="BR11"/>
      <c r="BS11"/>
      <c r="BT11" s="5"/>
      <c r="BU11" s="5"/>
      <c r="BX11"/>
      <c r="BZ11" s="3"/>
      <c r="CA11" t="s">
        <v>343</v>
      </c>
      <c r="CB11" t="s">
        <v>4</v>
      </c>
      <c r="CV11" t="s">
        <v>485</v>
      </c>
      <c r="DH11" t="s">
        <v>353</v>
      </c>
      <c r="DI11" t="s">
        <v>295</v>
      </c>
      <c r="DK11" t="s">
        <v>354</v>
      </c>
      <c r="DL11" t="s">
        <v>353</v>
      </c>
      <c r="DM11" t="s">
        <v>355</v>
      </c>
      <c r="DO11" t="s">
        <v>410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G4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0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3.140625" bestFit="1" customWidth="1"/>
    <col min="33" max="33" width="32.28515625" bestFit="1" customWidth="1"/>
    <col min="34" max="34" width="29.85546875" bestFit="1" customWidth="1"/>
    <col min="35" max="35" width="29.42578125" bestFit="1" customWidth="1"/>
    <col min="36" max="36" width="29.28515625" bestFit="1" customWidth="1"/>
    <col min="37" max="37" width="30.140625" bestFit="1" customWidth="1"/>
    <col min="38" max="38" width="29.42578125" bestFit="1" customWidth="1"/>
    <col min="39" max="39" width="34.140625" bestFit="1" customWidth="1"/>
    <col min="40" max="40" width="40.140625" bestFit="1" customWidth="1"/>
    <col min="41" max="42" width="39.42578125" bestFit="1" customWidth="1"/>
    <col min="43" max="43" width="32.42578125" bestFit="1" customWidth="1"/>
    <col min="44" max="44" width="48" bestFit="1" customWidth="1"/>
    <col min="45" max="45" width="31.140625" bestFit="1" customWidth="1"/>
    <col min="46" max="46" width="30.7109375" bestFit="1" customWidth="1"/>
    <col min="47" max="47" width="34.42578125" bestFit="1" customWidth="1"/>
    <col min="48" max="48" width="34.140625" bestFit="1" customWidth="1"/>
    <col min="49" max="49" width="55.42578125" bestFit="1" customWidth="1"/>
    <col min="50" max="50" width="36.7109375" bestFit="1" customWidth="1"/>
    <col min="51" max="51" width="41.28515625" bestFit="1" customWidth="1"/>
    <col min="52" max="52" width="52.7109375" bestFit="1" customWidth="1"/>
    <col min="53" max="53" width="36.28515625" bestFit="1" customWidth="1"/>
    <col min="54" max="54" width="30.5703125" bestFit="1" customWidth="1"/>
    <col min="55" max="55" width="46" bestFit="1" customWidth="1"/>
    <col min="56" max="56" width="30.5703125" bestFit="1" customWidth="1"/>
    <col min="57" max="57" width="31" bestFit="1" customWidth="1"/>
    <col min="58" max="58" width="43.140625" bestFit="1" customWidth="1"/>
    <col min="59" max="59" width="28.7109375" bestFit="1" customWidth="1"/>
    <col min="60" max="60" width="28.7109375" customWidth="1"/>
    <col min="61" max="61" width="28.85546875" customWidth="1"/>
  </cols>
  <sheetData>
    <row r="1" spans="1:59" x14ac:dyDescent="0.25">
      <c r="A1" t="s">
        <v>13</v>
      </c>
      <c r="B1" t="s">
        <v>462</v>
      </c>
      <c r="C1" t="s">
        <v>14</v>
      </c>
      <c r="D1" s="20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305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463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435</v>
      </c>
      <c r="Z1" t="s">
        <v>151</v>
      </c>
      <c r="AA1" t="s">
        <v>152</v>
      </c>
      <c r="AB1" t="s">
        <v>302</v>
      </c>
      <c r="AC1" t="s">
        <v>26</v>
      </c>
      <c r="AD1" t="s">
        <v>153</v>
      </c>
      <c r="AE1" t="s">
        <v>154</v>
      </c>
      <c r="AF1" t="s">
        <v>492</v>
      </c>
      <c r="AG1" t="s">
        <v>162</v>
      </c>
      <c r="AH1" t="s">
        <v>181</v>
      </c>
      <c r="AI1" t="s">
        <v>182</v>
      </c>
      <c r="AJ1" t="s">
        <v>163</v>
      </c>
      <c r="AK1" t="s">
        <v>164</v>
      </c>
      <c r="AL1" t="s">
        <v>178</v>
      </c>
      <c r="AM1" t="s">
        <v>335</v>
      </c>
      <c r="AN1" t="s">
        <v>179</v>
      </c>
      <c r="AO1" t="s">
        <v>440</v>
      </c>
      <c r="AP1" t="s">
        <v>441</v>
      </c>
      <c r="AQ1" t="s">
        <v>180</v>
      </c>
      <c r="AR1" t="s">
        <v>183</v>
      </c>
      <c r="AS1" t="s">
        <v>436</v>
      </c>
      <c r="AT1" t="s">
        <v>437</v>
      </c>
      <c r="AU1" t="s">
        <v>156</v>
      </c>
      <c r="AV1" t="s">
        <v>157</v>
      </c>
      <c r="AW1" t="s">
        <v>334</v>
      </c>
      <c r="AX1" t="s">
        <v>487</v>
      </c>
      <c r="AY1" t="s">
        <v>488</v>
      </c>
      <c r="AZ1" t="s">
        <v>489</v>
      </c>
      <c r="BA1" t="s">
        <v>158</v>
      </c>
      <c r="BB1" t="s">
        <v>159</v>
      </c>
      <c r="BC1" t="s">
        <v>160</v>
      </c>
      <c r="BD1" t="s">
        <v>161</v>
      </c>
      <c r="BE1" t="s">
        <v>352</v>
      </c>
      <c r="BF1" t="s">
        <v>456</v>
      </c>
      <c r="BG1" t="s">
        <v>155</v>
      </c>
    </row>
    <row r="2" spans="1:59" x14ac:dyDescent="0.25">
      <c r="B2" t="s">
        <v>464</v>
      </c>
      <c r="D2" t="s">
        <v>520</v>
      </c>
    </row>
    <row r="3" spans="1:59" x14ac:dyDescent="0.25">
      <c r="A3" t="s">
        <v>445</v>
      </c>
      <c r="B3" t="s">
        <v>464</v>
      </c>
      <c r="C3">
        <v>0</v>
      </c>
      <c r="D3" t="s">
        <v>521</v>
      </c>
      <c r="M3" t="s">
        <v>467</v>
      </c>
      <c r="N3" t="s">
        <v>445</v>
      </c>
      <c r="P3" t="s">
        <v>461</v>
      </c>
      <c r="Q3">
        <v>1</v>
      </c>
      <c r="R3" t="s">
        <v>299</v>
      </c>
      <c r="U3">
        <v>2</v>
      </c>
      <c r="V3">
        <v>0</v>
      </c>
      <c r="W3">
        <v>2</v>
      </c>
    </row>
    <row r="4" spans="1:59" x14ac:dyDescent="0.25">
      <c r="A4" t="s">
        <v>2</v>
      </c>
      <c r="B4" t="s">
        <v>464</v>
      </c>
      <c r="C4">
        <v>1</v>
      </c>
      <c r="D4" t="s">
        <v>479</v>
      </c>
      <c r="E4" t="s">
        <v>353</v>
      </c>
      <c r="F4" t="s">
        <v>295</v>
      </c>
      <c r="H4" t="s">
        <v>354</v>
      </c>
      <c r="I4" t="s">
        <v>353</v>
      </c>
      <c r="J4" t="s">
        <v>355</v>
      </c>
      <c r="L4" t="s">
        <v>410</v>
      </c>
      <c r="M4" t="s">
        <v>468</v>
      </c>
      <c r="N4" t="s">
        <v>2</v>
      </c>
      <c r="O4" t="s">
        <v>343</v>
      </c>
      <c r="P4" t="s">
        <v>461</v>
      </c>
      <c r="Q4">
        <v>1</v>
      </c>
      <c r="R4" t="s">
        <v>299</v>
      </c>
      <c r="U4">
        <v>3</v>
      </c>
      <c r="V4">
        <v>0</v>
      </c>
      <c r="W4">
        <v>3</v>
      </c>
      <c r="AC4" t="s">
        <v>343</v>
      </c>
      <c r="AD4" t="s">
        <v>4</v>
      </c>
      <c r="AX4" t="s">
        <v>485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F4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0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10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3.1406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7109375" bestFit="1" customWidth="1"/>
    <col min="50" max="50" width="41.28515625" bestFit="1" customWidth="1"/>
    <col min="51" max="51" width="52.7109375" bestFit="1" customWidth="1"/>
    <col min="52" max="52" width="36.28515625" bestFit="1" customWidth="1"/>
    <col min="53" max="53" width="30.5703125" bestFit="1" customWidth="1"/>
    <col min="54" max="54" width="46" bestFit="1" customWidth="1"/>
    <col min="55" max="55" width="30.5703125" bestFit="1" customWidth="1"/>
    <col min="56" max="56" width="31" bestFit="1" customWidth="1"/>
    <col min="57" max="57" width="43.140625" bestFit="1" customWidth="1"/>
    <col min="58" max="58" width="28.7109375" bestFit="1" customWidth="1"/>
    <col min="59" max="59" width="28.7109375" customWidth="1"/>
  </cols>
  <sheetData>
    <row r="1" spans="1:58" x14ac:dyDescent="0.25">
      <c r="A1" t="s">
        <v>13</v>
      </c>
      <c r="B1" t="s">
        <v>462</v>
      </c>
      <c r="C1" t="s">
        <v>14</v>
      </c>
      <c r="D1" s="20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463</v>
      </c>
      <c r="N1" t="s">
        <v>122</v>
      </c>
      <c r="O1" t="s">
        <v>123</v>
      </c>
      <c r="P1" t="s">
        <v>124</v>
      </c>
      <c r="Q1" s="10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492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335</v>
      </c>
      <c r="AM1" t="s">
        <v>179</v>
      </c>
      <c r="AN1" t="s">
        <v>440</v>
      </c>
      <c r="AO1" t="s">
        <v>441</v>
      </c>
      <c r="AP1" t="s">
        <v>180</v>
      </c>
      <c r="AQ1" t="s">
        <v>183</v>
      </c>
      <c r="AR1" t="s">
        <v>436</v>
      </c>
      <c r="AS1" t="s">
        <v>437</v>
      </c>
      <c r="AT1" t="s">
        <v>156</v>
      </c>
      <c r="AU1" t="s">
        <v>157</v>
      </c>
      <c r="AV1" t="s">
        <v>334</v>
      </c>
      <c r="AW1" t="s">
        <v>487</v>
      </c>
      <c r="AX1" t="s">
        <v>488</v>
      </c>
      <c r="AY1" t="s">
        <v>489</v>
      </c>
      <c r="AZ1" t="s">
        <v>158</v>
      </c>
      <c r="BA1" t="s">
        <v>159</v>
      </c>
      <c r="BB1" t="s">
        <v>160</v>
      </c>
      <c r="BC1" t="s">
        <v>161</v>
      </c>
      <c r="BD1" t="s">
        <v>352</v>
      </c>
      <c r="BE1" t="s">
        <v>456</v>
      </c>
      <c r="BF1" t="s">
        <v>155</v>
      </c>
    </row>
    <row r="2" spans="1:58" x14ac:dyDescent="0.25">
      <c r="B2" t="s">
        <v>460</v>
      </c>
      <c r="D2" t="s">
        <v>520</v>
      </c>
      <c r="O2"/>
      <c r="Q2" s="10"/>
    </row>
    <row r="3" spans="1:58" x14ac:dyDescent="0.25">
      <c r="A3" t="s">
        <v>1</v>
      </c>
      <c r="B3" t="s">
        <v>460</v>
      </c>
      <c r="C3">
        <v>1</v>
      </c>
      <c r="D3" t="s">
        <v>478</v>
      </c>
      <c r="E3" t="s">
        <v>346</v>
      </c>
      <c r="F3" t="s">
        <v>336</v>
      </c>
      <c r="G3" t="s">
        <v>347</v>
      </c>
      <c r="H3" t="s">
        <v>339</v>
      </c>
      <c r="I3" t="s">
        <v>340</v>
      </c>
      <c r="J3" t="s">
        <v>442</v>
      </c>
      <c r="K3" t="s">
        <v>1</v>
      </c>
      <c r="L3" t="s">
        <v>3</v>
      </c>
      <c r="M3" t="s">
        <v>466</v>
      </c>
      <c r="N3">
        <v>1</v>
      </c>
      <c r="O3" t="s">
        <v>313</v>
      </c>
      <c r="P3" t="s">
        <v>345</v>
      </c>
      <c r="Q3" s="10" t="s">
        <v>344</v>
      </c>
      <c r="R3" t="s">
        <v>348</v>
      </c>
      <c r="S3">
        <v>250</v>
      </c>
      <c r="T3">
        <v>7</v>
      </c>
      <c r="U3" t="s">
        <v>232</v>
      </c>
      <c r="V3" t="s">
        <v>349</v>
      </c>
      <c r="W3" t="s">
        <v>304</v>
      </c>
      <c r="Z3" t="s">
        <v>234</v>
      </c>
      <c r="AA3" t="s">
        <v>350</v>
      </c>
      <c r="AB3" t="s">
        <v>3</v>
      </c>
      <c r="AC3" t="s">
        <v>237</v>
      </c>
      <c r="AE3" t="s">
        <v>237</v>
      </c>
      <c r="AF3" t="s">
        <v>241</v>
      </c>
      <c r="AI3" t="s">
        <v>490</v>
      </c>
      <c r="AJ3" t="s">
        <v>490</v>
      </c>
      <c r="AK3" t="s">
        <v>490</v>
      </c>
      <c r="AL3" t="s">
        <v>490</v>
      </c>
      <c r="AM3" t="s">
        <v>490</v>
      </c>
      <c r="AN3" t="s">
        <v>490</v>
      </c>
      <c r="AO3" t="s">
        <v>490</v>
      </c>
      <c r="AP3" t="s">
        <v>490</v>
      </c>
      <c r="AQ3" t="s">
        <v>404</v>
      </c>
      <c r="AR3" t="s">
        <v>490</v>
      </c>
      <c r="AS3" t="s">
        <v>490</v>
      </c>
      <c r="AT3" t="s">
        <v>221</v>
      </c>
      <c r="AU3" t="s">
        <v>221</v>
      </c>
      <c r="AV3" t="s">
        <v>239</v>
      </c>
      <c r="AX3" t="s">
        <v>486</v>
      </c>
      <c r="AZ3" t="s">
        <v>267</v>
      </c>
      <c r="BA3" t="s">
        <v>505</v>
      </c>
      <c r="BB3" t="s">
        <v>471</v>
      </c>
      <c r="BC3" t="s">
        <v>5</v>
      </c>
      <c r="BD3" t="s">
        <v>490</v>
      </c>
      <c r="BF3" t="s">
        <v>239</v>
      </c>
    </row>
    <row r="4" spans="1:58" x14ac:dyDescent="0.25">
      <c r="A4" t="s">
        <v>1</v>
      </c>
      <c r="B4" t="s">
        <v>460</v>
      </c>
      <c r="C4">
        <v>1</v>
      </c>
      <c r="D4" t="s">
        <v>478</v>
      </c>
      <c r="E4" t="s">
        <v>346</v>
      </c>
      <c r="F4" t="s">
        <v>336</v>
      </c>
      <c r="G4" t="s">
        <v>347</v>
      </c>
      <c r="H4" t="s">
        <v>339</v>
      </c>
      <c r="I4" t="s">
        <v>340</v>
      </c>
      <c r="J4" t="s">
        <v>453</v>
      </c>
      <c r="K4" t="s">
        <v>1</v>
      </c>
      <c r="L4" t="s">
        <v>343</v>
      </c>
      <c r="M4" t="s">
        <v>466</v>
      </c>
      <c r="N4">
        <v>2</v>
      </c>
      <c r="O4" t="s">
        <v>313</v>
      </c>
      <c r="P4" t="s">
        <v>444</v>
      </c>
      <c r="Q4" s="10" t="s">
        <v>446</v>
      </c>
      <c r="R4" t="s">
        <v>444</v>
      </c>
      <c r="S4">
        <v>250</v>
      </c>
      <c r="T4">
        <v>7</v>
      </c>
      <c r="U4" t="s">
        <v>215</v>
      </c>
      <c r="V4" t="s">
        <v>443</v>
      </c>
      <c r="W4" t="s">
        <v>447</v>
      </c>
      <c r="X4" t="s">
        <v>448</v>
      </c>
      <c r="Y4" t="s">
        <v>220</v>
      </c>
      <c r="Z4" t="s">
        <v>263</v>
      </c>
      <c r="AB4" t="s">
        <v>343</v>
      </c>
      <c r="AC4" t="s">
        <v>4</v>
      </c>
      <c r="AW4" t="s">
        <v>485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E5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0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3.140625" bestFit="1" customWidth="1"/>
    <col min="83" max="83" width="32.28515625" bestFit="1" customWidth="1"/>
    <col min="84" max="84" width="29.85546875" bestFit="1" customWidth="1"/>
    <col min="85" max="85" width="29.42578125" bestFit="1" customWidth="1"/>
    <col min="86" max="86" width="29.28515625" bestFit="1" customWidth="1"/>
    <col min="87" max="87" width="30.140625" bestFit="1" customWidth="1"/>
    <col min="88" max="88" width="29.42578125" bestFit="1" customWidth="1"/>
    <col min="89" max="89" width="34.140625" bestFit="1" customWidth="1"/>
    <col min="90" max="90" width="40.140625" bestFit="1" customWidth="1"/>
    <col min="91" max="92" width="39.42578125" bestFit="1" customWidth="1"/>
    <col min="93" max="93" width="32.42578125" bestFit="1" customWidth="1"/>
    <col min="94" max="94" width="48" bestFit="1" customWidth="1"/>
    <col min="95" max="95" width="31.140625" bestFit="1" customWidth="1"/>
    <col min="96" max="96" width="30.7109375" bestFit="1" customWidth="1"/>
    <col min="97" max="97" width="34.42578125" bestFit="1" customWidth="1"/>
    <col min="98" max="98" width="34.140625" bestFit="1" customWidth="1"/>
    <col min="99" max="99" width="55.42578125" bestFit="1" customWidth="1"/>
    <col min="100" max="100" width="36.7109375" bestFit="1" customWidth="1"/>
    <col min="101" max="101" width="41.28515625" bestFit="1" customWidth="1"/>
    <col min="102" max="102" width="52.7109375" bestFit="1" customWidth="1"/>
    <col min="103" max="103" width="36.28515625" bestFit="1" customWidth="1"/>
    <col min="104" max="104" width="30.5703125" bestFit="1" customWidth="1"/>
    <col min="105" max="105" width="46" bestFit="1" customWidth="1"/>
    <col min="106" max="106" width="30.5703125" bestFit="1" customWidth="1"/>
    <col min="107" max="107" width="31" bestFit="1" customWidth="1"/>
    <col min="108" max="108" width="43.140625" bestFit="1" customWidth="1"/>
    <col min="109" max="109" width="28.7109375" bestFit="1" customWidth="1"/>
    <col min="110" max="110" width="28.7109375" customWidth="1"/>
    <col min="111" max="111" width="28.85546875" customWidth="1"/>
  </cols>
  <sheetData>
    <row r="1" spans="1:109" x14ac:dyDescent="0.25">
      <c r="A1" t="s">
        <v>13</v>
      </c>
      <c r="B1" t="s">
        <v>462</v>
      </c>
      <c r="C1" t="s">
        <v>14</v>
      </c>
      <c r="D1" s="20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457</v>
      </c>
      <c r="AM1" t="s">
        <v>463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306</v>
      </c>
      <c r="BT1" s="5" t="s">
        <v>307</v>
      </c>
      <c r="BU1" s="5" t="s">
        <v>308</v>
      </c>
      <c r="BV1" t="s">
        <v>309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492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335</v>
      </c>
      <c r="CL1" t="s">
        <v>179</v>
      </c>
      <c r="CM1" t="s">
        <v>440</v>
      </c>
      <c r="CN1" t="s">
        <v>441</v>
      </c>
      <c r="CO1" t="s">
        <v>180</v>
      </c>
      <c r="CP1" t="s">
        <v>183</v>
      </c>
      <c r="CQ1" t="s">
        <v>436</v>
      </c>
      <c r="CR1" t="s">
        <v>437</v>
      </c>
      <c r="CS1" t="s">
        <v>156</v>
      </c>
      <c r="CT1" t="s">
        <v>157</v>
      </c>
      <c r="CU1" t="s">
        <v>334</v>
      </c>
      <c r="CV1" t="s">
        <v>487</v>
      </c>
      <c r="CW1" t="s">
        <v>488</v>
      </c>
      <c r="CX1" t="s">
        <v>489</v>
      </c>
      <c r="CY1" t="s">
        <v>158</v>
      </c>
      <c r="CZ1" t="s">
        <v>159</v>
      </c>
      <c r="DA1" t="s">
        <v>160</v>
      </c>
      <c r="DB1" t="s">
        <v>161</v>
      </c>
      <c r="DC1" t="s">
        <v>352</v>
      </c>
      <c r="DD1" t="s">
        <v>456</v>
      </c>
      <c r="DE1" t="s">
        <v>155</v>
      </c>
    </row>
    <row r="2" spans="1:109" x14ac:dyDescent="0.25">
      <c r="A2" t="s">
        <v>0</v>
      </c>
      <c r="B2" t="s">
        <v>465</v>
      </c>
      <c r="C2">
        <v>1</v>
      </c>
      <c r="D2" s="20">
        <v>44792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458</v>
      </c>
      <c r="AH2" t="s">
        <v>480</v>
      </c>
      <c r="AI2" t="s">
        <v>0</v>
      </c>
      <c r="AJ2" t="s">
        <v>3</v>
      </c>
      <c r="AK2" t="s">
        <v>469</v>
      </c>
      <c r="AM2" t="s">
        <v>461</v>
      </c>
      <c r="AN2">
        <v>2</v>
      </c>
      <c r="AO2" t="s">
        <v>190</v>
      </c>
      <c r="AP2" t="s">
        <v>189</v>
      </c>
      <c r="AQ2" t="s">
        <v>311</v>
      </c>
      <c r="AS2">
        <v>3</v>
      </c>
      <c r="AV2" t="s">
        <v>191</v>
      </c>
      <c r="AW2" t="s">
        <v>233</v>
      </c>
      <c r="AX2" t="s">
        <v>443</v>
      </c>
      <c r="AY2" t="s">
        <v>234</v>
      </c>
      <c r="AZ2" t="s">
        <v>235</v>
      </c>
      <c r="BA2" t="s">
        <v>236</v>
      </c>
      <c r="BB2">
        <v>2</v>
      </c>
      <c r="BC2">
        <v>2</v>
      </c>
      <c r="BF2" t="s">
        <v>449</v>
      </c>
      <c r="BG2" t="s">
        <v>304</v>
      </c>
      <c r="BH2">
        <v>2</v>
      </c>
      <c r="BI2" t="s">
        <v>452</v>
      </c>
      <c r="BJ2" t="s">
        <v>452</v>
      </c>
      <c r="BK2" t="s">
        <v>191</v>
      </c>
      <c r="BL2" t="s">
        <v>452</v>
      </c>
      <c r="BR2"/>
      <c r="BS2"/>
      <c r="BT2" s="5"/>
      <c r="BU2" s="5"/>
      <c r="BW2" t="s">
        <v>469</v>
      </c>
      <c r="BX2">
        <v>1</v>
      </c>
      <c r="BY2" t="s">
        <v>6</v>
      </c>
      <c r="BZ2" s="3">
        <v>77</v>
      </c>
      <c r="CA2" t="s">
        <v>3</v>
      </c>
      <c r="CB2" t="s">
        <v>237</v>
      </c>
      <c r="CD2" t="s">
        <v>237</v>
      </c>
      <c r="CE2" t="s">
        <v>241</v>
      </c>
      <c r="CH2" t="s">
        <v>490</v>
      </c>
      <c r="CI2" t="s">
        <v>490</v>
      </c>
      <c r="CJ2" t="s">
        <v>490</v>
      </c>
      <c r="CK2" t="s">
        <v>490</v>
      </c>
      <c r="CL2" t="s">
        <v>490</v>
      </c>
      <c r="CM2" t="s">
        <v>490</v>
      </c>
      <c r="CN2" t="s">
        <v>490</v>
      </c>
      <c r="CO2" t="s">
        <v>490</v>
      </c>
      <c r="CP2" t="s">
        <v>404</v>
      </c>
      <c r="CQ2" t="s">
        <v>490</v>
      </c>
      <c r="CR2" t="s">
        <v>490</v>
      </c>
      <c r="CS2" t="s">
        <v>221</v>
      </c>
      <c r="CT2" t="s">
        <v>221</v>
      </c>
      <c r="CU2" t="s">
        <v>239</v>
      </c>
      <c r="CW2" t="s">
        <v>486</v>
      </c>
      <c r="CY2" t="s">
        <v>267</v>
      </c>
      <c r="CZ2" t="s">
        <v>505</v>
      </c>
      <c r="DA2" t="s">
        <v>471</v>
      </c>
      <c r="DB2" t="s">
        <v>5</v>
      </c>
      <c r="DC2" t="s">
        <v>490</v>
      </c>
      <c r="DE2" t="s">
        <v>239</v>
      </c>
    </row>
    <row r="3" spans="1:109" x14ac:dyDescent="0.25">
      <c r="A3" t="s">
        <v>0</v>
      </c>
      <c r="B3" t="s">
        <v>465</v>
      </c>
      <c r="C3">
        <v>1</v>
      </c>
      <c r="D3" s="20">
        <v>44792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458</v>
      </c>
      <c r="AH3" t="s">
        <v>454</v>
      </c>
      <c r="AI3" t="s">
        <v>0</v>
      </c>
      <c r="AJ3" t="s">
        <v>343</v>
      </c>
      <c r="AL3" t="s">
        <v>470</v>
      </c>
      <c r="AM3" t="s">
        <v>461</v>
      </c>
      <c r="AN3">
        <v>1</v>
      </c>
      <c r="AO3" t="s">
        <v>190</v>
      </c>
      <c r="AP3" t="s">
        <v>189</v>
      </c>
      <c r="AQ3" t="s">
        <v>311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450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303</v>
      </c>
      <c r="BG3" t="s">
        <v>404</v>
      </c>
      <c r="BH3">
        <v>1</v>
      </c>
      <c r="BI3" t="s">
        <v>451</v>
      </c>
      <c r="BJ3" t="s">
        <v>451</v>
      </c>
      <c r="BK3" t="s">
        <v>220</v>
      </c>
      <c r="BL3" t="s">
        <v>451</v>
      </c>
      <c r="BM3" t="s">
        <v>470</v>
      </c>
      <c r="BN3">
        <v>1</v>
      </c>
      <c r="BO3">
        <v>0.42</v>
      </c>
      <c r="BP3">
        <v>0.39</v>
      </c>
      <c r="BQ3">
        <v>0.39</v>
      </c>
      <c r="BR3">
        <v>0.4</v>
      </c>
      <c r="BS3">
        <v>56.3</v>
      </c>
      <c r="BT3" s="5">
        <v>48</v>
      </c>
      <c r="BU3" s="5">
        <v>87</v>
      </c>
      <c r="BV3">
        <v>120</v>
      </c>
      <c r="BX3"/>
      <c r="BZ3" s="3"/>
      <c r="CA3" t="s">
        <v>343</v>
      </c>
      <c r="CB3" t="s">
        <v>4</v>
      </c>
      <c r="CV3" t="s">
        <v>485</v>
      </c>
    </row>
    <row r="4" spans="1:109" x14ac:dyDescent="0.25">
      <c r="A4" t="s">
        <v>472</v>
      </c>
      <c r="B4" t="s">
        <v>465</v>
      </c>
      <c r="C4">
        <v>2</v>
      </c>
      <c r="D4" s="20">
        <v>45157</v>
      </c>
      <c r="N4" t="s">
        <v>481</v>
      </c>
      <c r="BR4"/>
      <c r="BS4"/>
      <c r="BT4" s="5"/>
      <c r="BU4" s="5"/>
      <c r="BX4"/>
      <c r="BZ4" s="3"/>
    </row>
    <row r="5" spans="1:109" x14ac:dyDescent="0.25">
      <c r="A5" t="s">
        <v>519</v>
      </c>
      <c r="B5" t="s">
        <v>465</v>
      </c>
      <c r="C5">
        <v>12</v>
      </c>
      <c r="D5" s="20">
        <v>44197</v>
      </c>
      <c r="BR5"/>
      <c r="BS5"/>
      <c r="BT5" s="5"/>
      <c r="BU5" s="5"/>
      <c r="BX5"/>
      <c r="BZ5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27546-261B-4750-88E1-CC1B7C157E69}">
  <sheetPr>
    <tabColor theme="9"/>
  </sheetPr>
  <dimension ref="A1:F13"/>
  <sheetViews>
    <sheetView workbookViewId="0">
      <selection activeCell="C29" sqref="C29"/>
    </sheetView>
  </sheetViews>
  <sheetFormatPr baseColWidth="10" defaultRowHeight="15" x14ac:dyDescent="0.25"/>
  <cols>
    <col min="1" max="1" width="11.42578125" style="23"/>
    <col min="3" max="3" width="13.28515625" customWidth="1"/>
    <col min="4" max="4" width="3.5703125" customWidth="1"/>
    <col min="5" max="5" width="22.28515625" customWidth="1"/>
    <col min="6" max="6" width="14.85546875" customWidth="1"/>
  </cols>
  <sheetData>
    <row r="1" spans="1:6" ht="20.25" customHeight="1" x14ac:dyDescent="0.25">
      <c r="A1" s="40" t="s">
        <v>498</v>
      </c>
      <c r="B1" s="40"/>
      <c r="C1" s="40"/>
      <c r="D1" s="32"/>
      <c r="E1" s="40" t="s">
        <v>496</v>
      </c>
      <c r="F1" s="40"/>
    </row>
    <row r="2" spans="1:6" ht="20.25" customHeight="1" x14ac:dyDescent="0.25">
      <c r="A2" s="34" t="s">
        <v>502</v>
      </c>
      <c r="B2" s="34" t="s">
        <v>504</v>
      </c>
      <c r="C2" s="34" t="s">
        <v>495</v>
      </c>
      <c r="D2" s="33"/>
      <c r="E2" s="34" t="s">
        <v>501</v>
      </c>
      <c r="F2" s="34" t="s">
        <v>497</v>
      </c>
    </row>
    <row r="3" spans="1:6" ht="20.25" customHeight="1" x14ac:dyDescent="0.25">
      <c r="A3" s="36" t="s">
        <v>499</v>
      </c>
      <c r="B3" s="35">
        <f>MIN(Ruk.Table[WERT])</f>
        <v>66</v>
      </c>
      <c r="C3" s="35">
        <f>MIN(Lp.Table[EV])</f>
        <v>56.3</v>
      </c>
      <c r="E3" s="36" t="s">
        <v>225</v>
      </c>
      <c r="F3" s="35">
        <f>COUNTIF(Erkundungsstelle.Table[[AUFSCHLUSS_OB]:[AUFSCHLUSS_UG_OH_BA]],"BK100")</f>
        <v>0</v>
      </c>
    </row>
    <row r="4" spans="1:6" ht="20.25" customHeight="1" x14ac:dyDescent="0.25">
      <c r="A4" s="36" t="s">
        <v>503</v>
      </c>
      <c r="B4" s="35">
        <f>AVERAGE(Ruk.Table[WERT])</f>
        <v>71.5</v>
      </c>
      <c r="C4" s="35">
        <f>AVERAGE(Lp.Table[EV])</f>
        <v>56.3</v>
      </c>
      <c r="E4" s="36" t="s">
        <v>242</v>
      </c>
      <c r="F4" s="35">
        <f>COUNTIF(Erkundungsstelle.Table[[AUFSCHLUSS_OB]:[AUFSCHLUSS_UG_OH_BA]],"BK150")</f>
        <v>0</v>
      </c>
    </row>
    <row r="5" spans="1:6" ht="20.25" customHeight="1" x14ac:dyDescent="0.25">
      <c r="A5" s="36" t="s">
        <v>500</v>
      </c>
      <c r="B5" s="35">
        <f>MAX(Ruk.Table[WERT])</f>
        <v>77</v>
      </c>
      <c r="C5" s="35">
        <f>MAX(Lp.Table[EV])</f>
        <v>56.3</v>
      </c>
      <c r="E5" s="36" t="s">
        <v>256</v>
      </c>
      <c r="F5" s="35">
        <f>COUNTIF(Erkundungsstelle.Table[[AUFSCHLUSS_OB]:[AUFSCHLUSS_UG_OH_BA]],"BK250")</f>
        <v>0</v>
      </c>
    </row>
    <row r="6" spans="1:6" ht="20.25" customHeight="1" x14ac:dyDescent="0.25">
      <c r="E6" s="36" t="s">
        <v>268</v>
      </c>
      <c r="F6" s="35">
        <f>COUNTIF(Erkundungsstelle.Table[[AUFSCHLUSS_OB]:[AUFSCHLUSS_UG_OH_BA]],"BK300")</f>
        <v>0</v>
      </c>
    </row>
    <row r="7" spans="1:6" ht="20.25" customHeight="1" x14ac:dyDescent="0.25">
      <c r="E7" s="36" t="s">
        <v>276</v>
      </c>
      <c r="F7" s="35">
        <f>COUNTIF(Erkundungsstelle.Table[[AUFSCHLUSS_OB]:[AUFSCHLUSS_UG_OH_BA]],"BK400")</f>
        <v>0</v>
      </c>
    </row>
    <row r="8" spans="1:6" ht="20.25" customHeight="1" x14ac:dyDescent="0.25">
      <c r="E8" s="36" t="s">
        <v>282</v>
      </c>
      <c r="F8" s="35">
        <f>COUNTIF(Erkundungsstelle.Table[[AUFSCHLUSS_OB]:[AUFSCHLUSS_UG_OH_BA]],"Auskratzen")</f>
        <v>0</v>
      </c>
    </row>
    <row r="9" spans="1:6" ht="20.25" customHeight="1" x14ac:dyDescent="0.25">
      <c r="E9" s="36" t="s">
        <v>287</v>
      </c>
      <c r="F9" s="35">
        <f>COUNTIF(Erkundungsstelle.Table[[AUFSCHLUSS_OB]:[AUFSCHLUSS_UG_OH_BA]],"Aufbruch")</f>
        <v>0</v>
      </c>
    </row>
    <row r="10" spans="1:6" ht="20.25" customHeight="1" x14ac:dyDescent="0.25">
      <c r="E10" s="36" t="s">
        <v>243</v>
      </c>
      <c r="F10" s="35">
        <f>COUNTIF(Erkundungsstelle.Table[[AUFSCHLUSS_OB]:[AUFSCHLUSS_UG_OH_BA]],"Aufstemmen")</f>
        <v>1</v>
      </c>
    </row>
    <row r="11" spans="1:6" ht="20.25" customHeight="1" x14ac:dyDescent="0.25">
      <c r="E11" s="36" t="s">
        <v>226</v>
      </c>
      <c r="F11" s="35">
        <f>COUNTIF(Erkundungsstelle.Table[[AUFSCHLUSS_OB]:[AUFSCHLUSS_UG_OH_BA]],"Handschurf")</f>
        <v>1</v>
      </c>
    </row>
    <row r="12" spans="1:6" ht="20.25" customHeight="1" x14ac:dyDescent="0.25">
      <c r="E12" s="36" t="s">
        <v>227</v>
      </c>
      <c r="F12" s="35">
        <f>COUNTIF(Erkundungsstelle.Table[[AUFSCHLUSS_OB]:[AUFSCHLUSS_UG_OH_BA]],"Kleinrammbohrung")</f>
        <v>1</v>
      </c>
    </row>
    <row r="13" spans="1:6" ht="20.25" customHeight="1" x14ac:dyDescent="0.25">
      <c r="E13" s="36" t="s">
        <v>244</v>
      </c>
      <c r="F13" s="35">
        <f>COUNTIF(Erkundungsstelle.Table[[AUFSCHLUSS_OB]:[AUFSCHLUSS_UG_OH_BA]],"Baggerschurf")</f>
        <v>0</v>
      </c>
    </row>
  </sheetData>
  <mergeCells count="2">
    <mergeCell ref="E1:F1"/>
    <mergeCell ref="A1:C1"/>
  </mergeCells>
  <pageMargins left="0.7" right="0.7" top="0.78740157499999996" bottom="0.78740157499999996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E5"/>
  <sheetViews>
    <sheetView tabSelected="1" workbookViewId="0">
      <pane xSplit="1" topLeftCell="E1" activePane="topRight" state="frozen"/>
      <selection activeCell="M31" sqref="M31"/>
      <selection pane="topRight" activeCell="X2" sqref="X2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4" width="20.85546875" customWidth="1"/>
    <col min="5" max="5" width="17.140625" customWidth="1"/>
    <col min="6" max="6" width="17.28515625" hidden="1" customWidth="1"/>
    <col min="7" max="7" width="11.42578125" customWidth="1"/>
    <col min="8" max="8" width="6.7109375" hidden="1" customWidth="1"/>
    <col min="9" max="9" width="10.42578125" hidden="1" customWidth="1"/>
    <col min="10" max="10" width="6.85546875" hidden="1" customWidth="1"/>
    <col min="11" max="11" width="11.42578125" hidden="1" customWidth="1"/>
    <col min="12" max="12" width="18.28515625" hidden="1" customWidth="1"/>
    <col min="13" max="14" width="16.7109375" hidden="1" customWidth="1"/>
    <col min="15" max="15" width="9.85546875" hidden="1" customWidth="1"/>
    <col min="16" max="16" width="25.42578125" hidden="1" customWidth="1"/>
    <col min="17" max="18" width="11.42578125" hidden="1" customWidth="1"/>
    <col min="20" max="20" width="11.7109375" bestFit="1" customWidth="1"/>
    <col min="21" max="21" width="32.85546875" bestFit="1" customWidth="1"/>
    <col min="22" max="22" width="14.5703125" customWidth="1"/>
    <col min="23" max="23" width="18.5703125" bestFit="1" customWidth="1"/>
    <col min="24" max="24" width="30" bestFit="1" customWidth="1"/>
    <col min="25" max="25" width="13.5703125" bestFit="1" customWidth="1"/>
    <col min="26" max="26" width="8" bestFit="1" customWidth="1"/>
    <col min="27" max="27" width="23.28515625" bestFit="1" customWidth="1"/>
    <col min="28" max="28" width="11.7109375" bestFit="1" customWidth="1"/>
    <col min="29" max="29" width="8.42578125" bestFit="1" customWidth="1"/>
    <col min="30" max="30" width="20.5703125" bestFit="1" customWidth="1"/>
    <col min="31" max="31" width="16.7109375" bestFit="1" customWidth="1"/>
    <col min="32" max="32" width="16.7109375" customWidth="1"/>
    <col min="33" max="33" width="16.7109375" bestFit="1" customWidth="1"/>
    <col min="34" max="34" width="23.140625" bestFit="1" customWidth="1"/>
    <col min="35" max="35" width="16.7109375" bestFit="1" customWidth="1"/>
    <col min="36" max="36" width="20.42578125" bestFit="1" customWidth="1"/>
    <col min="37" max="37" width="18.42578125" customWidth="1"/>
    <col min="51" max="51" width="26.85546875" customWidth="1"/>
  </cols>
  <sheetData>
    <row r="1" spans="1:31" ht="30" customHeight="1" x14ac:dyDescent="0.2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</row>
    <row r="2" spans="1:31" s="24" customFormat="1" x14ac:dyDescent="0.25">
      <c r="A2" s="24" t="s">
        <v>7</v>
      </c>
      <c r="B2" s="24" t="s">
        <v>104</v>
      </c>
      <c r="C2" s="24" t="s">
        <v>105</v>
      </c>
      <c r="D2" s="24" t="s">
        <v>491</v>
      </c>
      <c r="E2" s="24" t="s">
        <v>113</v>
      </c>
      <c r="F2" s="24" t="s">
        <v>176</v>
      </c>
      <c r="G2" s="24" t="s">
        <v>83</v>
      </c>
      <c r="H2" s="24" t="s">
        <v>114</v>
      </c>
      <c r="I2" s="24" t="s">
        <v>115</v>
      </c>
      <c r="J2" s="24" t="s">
        <v>173</v>
      </c>
      <c r="K2" s="24" t="s">
        <v>300</v>
      </c>
      <c r="L2" s="24" t="s">
        <v>174</v>
      </c>
      <c r="M2" s="24" t="s">
        <v>438</v>
      </c>
      <c r="N2" s="24" t="s">
        <v>439</v>
      </c>
      <c r="O2" s="24" t="s">
        <v>175</v>
      </c>
      <c r="P2" s="24" t="s">
        <v>177</v>
      </c>
      <c r="Q2" s="24" t="s">
        <v>406</v>
      </c>
      <c r="R2" s="24" t="s">
        <v>407</v>
      </c>
      <c r="S2" s="24" t="s">
        <v>107</v>
      </c>
      <c r="T2" s="24" t="s">
        <v>108</v>
      </c>
      <c r="U2" s="24" t="s">
        <v>184</v>
      </c>
      <c r="V2" s="24" t="s">
        <v>482</v>
      </c>
      <c r="W2" s="24" t="s">
        <v>483</v>
      </c>
      <c r="X2" s="24" t="s">
        <v>484</v>
      </c>
      <c r="Y2" s="24" t="s">
        <v>109</v>
      </c>
      <c r="Z2" s="24" t="s">
        <v>110</v>
      </c>
      <c r="AA2" s="24" t="s">
        <v>111</v>
      </c>
      <c r="AB2" s="24" t="s">
        <v>112</v>
      </c>
      <c r="AC2" s="24" t="s">
        <v>351</v>
      </c>
      <c r="AD2" s="24" t="s">
        <v>455</v>
      </c>
      <c r="AE2" s="24" t="s">
        <v>106</v>
      </c>
    </row>
    <row r="3" spans="1:31" x14ac:dyDescent="0.25">
      <c r="A3" t="str">
        <f t="shared" ref="A3:A5" si="0">"C"&amp;ROW()-3</f>
        <v>C0</v>
      </c>
      <c r="B3" t="s">
        <v>4</v>
      </c>
      <c r="V3" t="s">
        <v>485</v>
      </c>
    </row>
    <row r="4" spans="1:31" x14ac:dyDescent="0.25">
      <c r="A4" t="str">
        <f t="shared" si="0"/>
        <v>C1</v>
      </c>
      <c r="B4" t="s">
        <v>237</v>
      </c>
      <c r="D4" t="s">
        <v>237</v>
      </c>
      <c r="E4" t="s">
        <v>241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 t="s">
        <v>404</v>
      </c>
      <c r="Q4">
        <v>1</v>
      </c>
      <c r="R4">
        <v>1</v>
      </c>
      <c r="S4" t="s">
        <v>221</v>
      </c>
      <c r="T4" t="s">
        <v>221</v>
      </c>
      <c r="U4" t="s">
        <v>239</v>
      </c>
      <c r="W4" t="s">
        <v>486</v>
      </c>
      <c r="Y4" t="s">
        <v>267</v>
      </c>
      <c r="Z4" t="s">
        <v>505</v>
      </c>
      <c r="AA4" t="s">
        <v>471</v>
      </c>
      <c r="AB4" t="s">
        <v>5</v>
      </c>
      <c r="AC4">
        <v>1</v>
      </c>
      <c r="AE4" t="s">
        <v>239</v>
      </c>
    </row>
    <row r="5" spans="1:31" x14ac:dyDescent="0.25">
      <c r="A5" t="str">
        <f t="shared" si="0"/>
        <v>C2</v>
      </c>
      <c r="B5" t="s">
        <v>408</v>
      </c>
      <c r="S5" t="s">
        <v>238</v>
      </c>
      <c r="T5" t="s">
        <v>266</v>
      </c>
      <c r="X5" t="s">
        <v>239</v>
      </c>
      <c r="AA5" t="s">
        <v>473</v>
      </c>
      <c r="AB5" t="s">
        <v>239</v>
      </c>
    </row>
  </sheetData>
  <mergeCells count="1">
    <mergeCell ref="A1:AE1"/>
  </mergeCells>
  <phoneticPr fontId="1" type="noConversion"/>
  <dataValidations count="12">
    <dataValidation type="list" allowBlank="1" showErrorMessage="1" sqref="E3:E5" xr:uid="{310B5C64-E75B-48B0-A433-987ACC6A4389}">
      <formula1>"nachweisbar, nicht nachweisbar"</formula1>
    </dataValidation>
    <dataValidation type="list" allowBlank="1" showInputMessage="1" showErrorMessage="1" sqref="P3:P5" xr:uid="{BE8A61CA-55EE-44EB-B6CC-F3311FC218FB}">
      <formula1>"auffällig, nicht auffällig"</formula1>
    </dataValidation>
    <dataValidation type="list" allowBlank="1" showInputMessage="1" showErrorMessage="1" sqref="AF3:AF11 AB3:AB5 AE3:AE21 U3:U5 X3:X5" xr:uid="{0C1B8A6C-111C-4A71-B7CB-19BBB7CA01B8}">
      <formula1>"eingehalten, nicht eingehalten"</formula1>
    </dataValidation>
    <dataValidation type="list" allowBlank="1" showInputMessage="1" showErrorMessage="1" sqref="AA3:AA5" xr:uid="{BBFD99F8-4F98-4551-92EF-03D41A8C6CE6}">
      <formula1>"Spalte 5, DK I, DK II"</formula1>
    </dataValidation>
    <dataValidation type="list" allowBlank="1" showInputMessage="1" showErrorMessage="1" sqref="Y3:Y5" xr:uid="{1E602BBC-AD99-4DA7-85B3-EFB0009D9C54}">
      <formula1>"RC1, RC2, RC3, &gt;RC3"</formula1>
    </dataValidation>
    <dataValidation type="list" allowBlank="1" showInputMessage="1" showErrorMessage="1" sqref="S3:T5" xr:uid="{FA06BEE0-3E9C-4195-BDEB-FDE18FB3A0C9}">
      <formula1>"Z0, Z0*, Z1.1, Z1.2, Z2, &gt;Z2"</formula1>
    </dataValidation>
    <dataValidation type="list" allowBlank="1" showInputMessage="1" showErrorMessage="1" sqref="B3:B5 D3:D5" xr:uid="{806BF5FA-2DF4-40CC-B5FC-B827A2275773}">
      <formula1>"gefährlich, nicht gefährlich, Auffälligkeit, keine Auffälligkeit"</formula1>
    </dataValidation>
    <dataValidation type="list" allowBlank="1" showInputMessage="1" showErrorMessage="1" sqref="AY5:AY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I5:AI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H5:AH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G5:AG1048576" xr:uid="{2A8510B3-2121-45A3-ADEB-4616CFB015E8}">
      <formula1>DEPV_AUSWAHL</formula1>
    </dataValidation>
    <dataValidation type="list" allowBlank="1" showInputMessage="1" showErrorMessage="1" sqref="F3:F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1</xdr:row>
                <xdr:rowOff>0</xdr:rowOff>
              </from>
              <to>
                <xdr:col>0</xdr:col>
                <xdr:colOff>800100</xdr:colOff>
                <xdr:row>2</xdr:row>
                <xdr:rowOff>85725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228C9C5-2D7E-4790-8810-11CAF33447EC}">
          <x14:formula1>
            <xm:f>'Auswahl Listen'!$AH$2:$AH$15</xm:f>
          </x14:formula1>
          <xm:sqref>V3:V5</xm:sqref>
        </x14:dataValidation>
        <x14:dataValidation type="list" allowBlank="1" showInputMessage="1" showErrorMessage="1" xr:uid="{2794A249-3D56-44F3-BA92-18A27C5E4D87}">
          <x14:formula1>
            <xm:f>'Auswahl Listen'!$M$2:$M$6</xm:f>
          </x14:formula1>
          <xm:sqref>Z3:Z5</xm:sqref>
        </x14:dataValidation>
        <x14:dataValidation type="list" allowBlank="1" showInputMessage="1" showErrorMessage="1" xr:uid="{952A38EB-88C8-423C-8C87-27C6F3B0531E}">
          <x14:formula1>
            <xm:f>'Auswahl Listen'!$AI$2:$AI$32</xm:f>
          </x14:formula1>
          <xm:sqref>W3:W5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E3"/>
  <sheetViews>
    <sheetView workbookViewId="0">
      <selection activeCell="D24" sqref="D24"/>
    </sheetView>
  </sheetViews>
  <sheetFormatPr baseColWidth="10" defaultColWidth="11.42578125" defaultRowHeight="15" x14ac:dyDescent="0.25"/>
  <cols>
    <col min="1" max="3" width="15.5703125" customWidth="1"/>
    <col min="4" max="4" width="15.5703125" style="3" customWidth="1"/>
    <col min="5" max="5" width="15.5703125" customWidth="1"/>
  </cols>
  <sheetData>
    <row r="1" spans="1:5" s="24" customFormat="1" x14ac:dyDescent="0.25">
      <c r="A1" s="24" t="s">
        <v>7</v>
      </c>
      <c r="B1" s="24" t="s">
        <v>8</v>
      </c>
      <c r="C1" s="24" t="s">
        <v>116</v>
      </c>
      <c r="D1" s="30" t="s">
        <v>117</v>
      </c>
      <c r="E1" s="24" t="s">
        <v>493</v>
      </c>
    </row>
    <row r="2" spans="1:5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3">
        <v>77</v>
      </c>
      <c r="E2" s="23" t="str">
        <f>IF(Ruk.Table[[#This Row],[WERT]]&gt;77,"Ausreißer","i.O.")</f>
        <v>i.O.</v>
      </c>
    </row>
    <row r="3" spans="1:5" x14ac:dyDescent="0.25">
      <c r="A3" t="str">
        <f>"A"&amp;ROW()-1</f>
        <v>A2</v>
      </c>
      <c r="B3">
        <f>ROW()-1</f>
        <v>2</v>
      </c>
      <c r="C3" t="s">
        <v>310</v>
      </c>
      <c r="D3" s="3">
        <v>66</v>
      </c>
      <c r="E3" s="23" t="str">
        <f>IF(Ruk.Table[[#This Row],[WERT]]&gt;77,"Ausreißer","i.O.")</f>
        <v>i.O.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K23"/>
  <sheetViews>
    <sheetView zoomScaleNormal="100" workbookViewId="0">
      <selection activeCell="K19" sqref="K19"/>
    </sheetView>
  </sheetViews>
  <sheetFormatPr baseColWidth="10" defaultColWidth="11.42578125" defaultRowHeight="15" x14ac:dyDescent="0.25"/>
  <cols>
    <col min="1" max="5" width="15.140625" customWidth="1"/>
    <col min="6" max="6" width="15.140625" style="4" customWidth="1"/>
    <col min="7" max="7" width="15.140625" customWidth="1"/>
    <col min="8" max="9" width="15.140625" style="5" customWidth="1"/>
    <col min="10" max="11" width="15.140625" customWidth="1"/>
  </cols>
  <sheetData>
    <row r="1" spans="1:11" s="24" customFormat="1" x14ac:dyDescent="0.25">
      <c r="A1" s="24" t="s">
        <v>7</v>
      </c>
      <c r="B1" s="24" t="s">
        <v>8</v>
      </c>
      <c r="C1" s="24" t="s">
        <v>118</v>
      </c>
      <c r="D1" s="24" t="s">
        <v>119</v>
      </c>
      <c r="E1" s="24" t="s">
        <v>120</v>
      </c>
      <c r="F1" s="31" t="s">
        <v>121</v>
      </c>
      <c r="G1" s="8" t="s">
        <v>185</v>
      </c>
      <c r="H1" s="1" t="s">
        <v>186</v>
      </c>
      <c r="I1" s="1" t="s">
        <v>187</v>
      </c>
      <c r="J1" s="24" t="s">
        <v>188</v>
      </c>
      <c r="K1" s="24" t="s">
        <v>494</v>
      </c>
    </row>
    <row r="2" spans="1:11" x14ac:dyDescent="0.25">
      <c r="A2" t="str">
        <f t="shared" ref="A2" si="0">"LP"&amp;ROW()-1</f>
        <v>LP1</v>
      </c>
      <c r="B2">
        <f t="shared" ref="B2" si="1">ROW()-1</f>
        <v>1</v>
      </c>
      <c r="C2" s="2">
        <v>0.42</v>
      </c>
      <c r="D2" s="2">
        <v>0.39</v>
      </c>
      <c r="E2" s="2">
        <v>0.39</v>
      </c>
      <c r="F2" s="4">
        <f>IFERROR(AVERAGE(Lp.Table[[#This Row],[WERT_1]:[WERT_3]]),"")</f>
        <v>0.40000000000000008</v>
      </c>
      <c r="G2">
        <f>IFERROR(ROUND(22.5/Lp.Table[[#This Row],[MITTELWERT]],1),"")</f>
        <v>56.3</v>
      </c>
      <c r="H2" s="5">
        <f>IFERROR(ROUND(Lp.Table[[#This Row],[EV]]*0.85,0),"")</f>
        <v>48</v>
      </c>
      <c r="I2" s="5">
        <f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f>
        <v>87</v>
      </c>
      <c r="J2">
        <f>IF(Lp.Table[[#This Row],[EV2]] &lt;&gt; "",120,"")</f>
        <v>120</v>
      </c>
      <c r="K2" s="23" t="str">
        <f>IF(Lp.Table[[#This Row],[EV2]]&lt;=Lp.Table[[#This Row],[EV2_SOLL]],"i.O.","n.i.O.")</f>
        <v>i.O.</v>
      </c>
    </row>
    <row r="3" spans="1:11" x14ac:dyDescent="0.25">
      <c r="C3" s="2"/>
      <c r="D3" s="2"/>
      <c r="E3" s="2"/>
    </row>
    <row r="4" spans="1:11" x14ac:dyDescent="0.25">
      <c r="C4" s="2"/>
      <c r="D4" s="2"/>
      <c r="E4" s="2"/>
    </row>
    <row r="5" spans="1:11" x14ac:dyDescent="0.25">
      <c r="C5" s="2"/>
      <c r="D5" s="2"/>
      <c r="E5" s="2"/>
    </row>
    <row r="6" spans="1:11" x14ac:dyDescent="0.25">
      <c r="C6" s="2"/>
      <c r="D6" s="2"/>
      <c r="E6" s="2"/>
    </row>
    <row r="7" spans="1:11" x14ac:dyDescent="0.25">
      <c r="C7" s="2"/>
      <c r="D7" s="2"/>
      <c r="E7" s="2"/>
    </row>
    <row r="8" spans="1:11" x14ac:dyDescent="0.25">
      <c r="C8" s="2"/>
      <c r="D8" s="2"/>
      <c r="E8" s="2"/>
    </row>
    <row r="9" spans="1:11" x14ac:dyDescent="0.25">
      <c r="C9" s="2"/>
      <c r="D9" s="2"/>
      <c r="E9" s="2"/>
    </row>
    <row r="10" spans="1:11" x14ac:dyDescent="0.25">
      <c r="C10" s="2"/>
      <c r="D10" s="2"/>
      <c r="E10" s="2"/>
    </row>
    <row r="11" spans="1:11" x14ac:dyDescent="0.25">
      <c r="C11" s="2"/>
      <c r="D11" s="2"/>
      <c r="E11" s="2"/>
    </row>
    <row r="12" spans="1:11" x14ac:dyDescent="0.25">
      <c r="C12" s="2"/>
      <c r="D12" s="2"/>
      <c r="E12" s="2"/>
    </row>
    <row r="13" spans="1:11" x14ac:dyDescent="0.25">
      <c r="C13" s="2"/>
      <c r="D13" s="2"/>
      <c r="E13" s="2"/>
    </row>
    <row r="14" spans="1:11" x14ac:dyDescent="0.25">
      <c r="C14" s="2"/>
      <c r="D14" s="2"/>
      <c r="E14" s="2"/>
    </row>
    <row r="15" spans="1:11" x14ac:dyDescent="0.25">
      <c r="C15" s="2"/>
      <c r="D15" s="2"/>
      <c r="E15" s="2"/>
    </row>
    <row r="16" spans="1:11" x14ac:dyDescent="0.25">
      <c r="C16" s="2"/>
      <c r="D16" s="2"/>
      <c r="E16" s="2"/>
    </row>
    <row r="17" spans="3:5" x14ac:dyDescent="0.25">
      <c r="C17" s="2"/>
      <c r="D17" s="2"/>
      <c r="E17" s="2"/>
    </row>
    <row r="18" spans="3:5" x14ac:dyDescent="0.25">
      <c r="C18" s="2"/>
      <c r="D18" s="2"/>
      <c r="E18" s="2"/>
    </row>
    <row r="19" spans="3:5" x14ac:dyDescent="0.25">
      <c r="C19" s="2"/>
      <c r="D19" s="2"/>
      <c r="E19" s="2"/>
    </row>
    <row r="20" spans="3:5" x14ac:dyDescent="0.25">
      <c r="C20" s="2"/>
      <c r="D20" s="2"/>
      <c r="E20" s="2"/>
    </row>
    <row r="21" spans="3:5" x14ac:dyDescent="0.25">
      <c r="C21" s="2"/>
      <c r="D21" s="2"/>
      <c r="E21" s="2"/>
    </row>
    <row r="22" spans="3:5" x14ac:dyDescent="0.25">
      <c r="C22" s="2"/>
      <c r="D22" s="2"/>
      <c r="E22" s="2"/>
    </row>
    <row r="23" spans="3:5" x14ac:dyDescent="0.25">
      <c r="C23" s="2"/>
      <c r="D23" s="2"/>
      <c r="E23" s="2"/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workbookViewId="0">
      <pane xSplit="1" topLeftCell="C1" activePane="topRight" state="frozen"/>
      <selection activeCell="F37" sqref="F37"/>
      <selection pane="topRight" activeCell="F7" sqref="F7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2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21" customFormat="1" ht="30" customHeight="1" x14ac:dyDescent="0.2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3" s="28" customFormat="1" x14ac:dyDescent="0.25">
      <c r="A2" s="25" t="s">
        <v>7</v>
      </c>
      <c r="B2" s="25" t="s">
        <v>459</v>
      </c>
      <c r="C2" s="25" t="s">
        <v>8</v>
      </c>
      <c r="D2" s="37" t="s">
        <v>9</v>
      </c>
      <c r="E2" s="26" t="s">
        <v>10</v>
      </c>
      <c r="F2" s="26" t="s">
        <v>11</v>
      </c>
      <c r="G2" s="26" t="s">
        <v>29</v>
      </c>
      <c r="H2" s="26" t="s">
        <v>30</v>
      </c>
      <c r="I2" s="26" t="s">
        <v>31</v>
      </c>
      <c r="J2" s="26" t="s">
        <v>32</v>
      </c>
      <c r="K2" s="26" t="s">
        <v>33</v>
      </c>
      <c r="L2" s="26" t="s">
        <v>34</v>
      </c>
      <c r="M2" s="26" t="s">
        <v>35</v>
      </c>
      <c r="N2" s="26" t="s">
        <v>36</v>
      </c>
      <c r="O2" s="26" t="s">
        <v>37</v>
      </c>
      <c r="P2" s="26" t="s">
        <v>38</v>
      </c>
      <c r="Q2" s="26" t="s">
        <v>39</v>
      </c>
      <c r="R2" s="26" t="s">
        <v>40</v>
      </c>
      <c r="S2" s="26" t="s">
        <v>41</v>
      </c>
      <c r="T2" s="26" t="s">
        <v>42</v>
      </c>
      <c r="U2" s="26" t="s">
        <v>43</v>
      </c>
      <c r="V2" s="26" t="s">
        <v>44</v>
      </c>
      <c r="W2" s="26" t="s">
        <v>45</v>
      </c>
      <c r="X2" s="27" t="s">
        <v>314</v>
      </c>
      <c r="Y2" s="27" t="s">
        <v>315</v>
      </c>
      <c r="Z2" s="27" t="s">
        <v>316</v>
      </c>
      <c r="AA2" s="27" t="s">
        <v>317</v>
      </c>
      <c r="AB2" s="27" t="s">
        <v>318</v>
      </c>
      <c r="AC2" s="27" t="s">
        <v>319</v>
      </c>
      <c r="AD2" s="27" t="s">
        <v>320</v>
      </c>
      <c r="AE2" s="27" t="s">
        <v>321</v>
      </c>
      <c r="AF2" s="27" t="s">
        <v>322</v>
      </c>
      <c r="AG2" s="27" t="s">
        <v>323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22" t="s">
        <v>476</v>
      </c>
      <c r="E3" t="s">
        <v>338</v>
      </c>
      <c r="F3" t="s">
        <v>336</v>
      </c>
      <c r="G3" t="s">
        <v>337</v>
      </c>
      <c r="H3" t="s">
        <v>339</v>
      </c>
      <c r="I3" s="9" t="s">
        <v>340</v>
      </c>
      <c r="J3" t="s">
        <v>243</v>
      </c>
      <c r="K3" t="s">
        <v>226</v>
      </c>
      <c r="L3" t="s">
        <v>227</v>
      </c>
      <c r="M3" t="s">
        <v>228</v>
      </c>
      <c r="N3" s="10" t="s">
        <v>229</v>
      </c>
      <c r="O3" s="9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458</v>
      </c>
    </row>
    <row r="4" spans="1:33" x14ac:dyDescent="0.25">
      <c r="A4" t="s">
        <v>472</v>
      </c>
      <c r="B4" t="str">
        <f>"EXPLORATION"</f>
        <v>EXPLORATION</v>
      </c>
      <c r="C4">
        <v>2</v>
      </c>
      <c r="D4" s="22" t="s">
        <v>477</v>
      </c>
      <c r="I4" s="9"/>
      <c r="N4" s="10" t="s">
        <v>481</v>
      </c>
      <c r="O4" s="9"/>
    </row>
    <row r="5" spans="1:33" x14ac:dyDescent="0.25">
      <c r="A5" t="s">
        <v>519</v>
      </c>
      <c r="B5" t="str">
        <f>"EXPLORATION"</f>
        <v>EXPLORATION</v>
      </c>
      <c r="C5">
        <v>12</v>
      </c>
      <c r="D5" s="22">
        <v>44197</v>
      </c>
      <c r="I5" s="9"/>
      <c r="N5" s="10"/>
      <c r="O5" s="9"/>
    </row>
    <row r="6" spans="1:33" x14ac:dyDescent="0.25">
      <c r="I6" s="9"/>
      <c r="O6" s="9"/>
    </row>
    <row r="8" spans="1:33" x14ac:dyDescent="0.25">
      <c r="I8" s="9"/>
      <c r="O8" s="9"/>
    </row>
    <row r="9" spans="1:33" x14ac:dyDescent="0.25">
      <c r="I9" s="9"/>
      <c r="O9" s="9"/>
    </row>
    <row r="10" spans="1:33" x14ac:dyDescent="0.25">
      <c r="I10" s="9"/>
      <c r="O10" s="9"/>
    </row>
    <row r="11" spans="1:33" x14ac:dyDescent="0.25">
      <c r="I11" s="9"/>
      <c r="O11" s="9"/>
    </row>
    <row r="12" spans="1:33" x14ac:dyDescent="0.25">
      <c r="I12" s="9"/>
      <c r="O12" s="9"/>
    </row>
    <row r="13" spans="1:33" x14ac:dyDescent="0.25">
      <c r="I13" s="9"/>
      <c r="O13" s="9"/>
    </row>
    <row r="15" spans="1:33" x14ac:dyDescent="0.25">
      <c r="I15" s="9"/>
      <c r="O15" s="9"/>
    </row>
    <row r="16" spans="1:33" x14ac:dyDescent="0.25">
      <c r="I16" s="9"/>
      <c r="O16" s="9"/>
    </row>
    <row r="17" spans="9:15" x14ac:dyDescent="0.25">
      <c r="I17" s="9"/>
      <c r="O17" s="9"/>
    </row>
    <row r="18" spans="9:15" x14ac:dyDescent="0.25">
      <c r="I18" s="9"/>
      <c r="O18" s="9"/>
    </row>
    <row r="19" spans="9:15" x14ac:dyDescent="0.25">
      <c r="I19" s="9"/>
      <c r="O19" s="9"/>
    </row>
    <row r="20" spans="9:15" x14ac:dyDescent="0.25">
      <c r="I20" s="9"/>
      <c r="O20" s="9"/>
    </row>
    <row r="21" spans="9:15" x14ac:dyDescent="0.25">
      <c r="I21" s="9"/>
      <c r="O21" s="9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E4"/>
  <sheetViews>
    <sheetView workbookViewId="0">
      <pane xSplit="9" topLeftCell="J1" activePane="topRight" state="frozen"/>
      <selection pane="topRight" activeCell="D15" sqref="D15"/>
    </sheetView>
  </sheetViews>
  <sheetFormatPr baseColWidth="10" defaultColWidth="9.140625" defaultRowHeight="15" x14ac:dyDescent="0.25"/>
  <cols>
    <col min="1" max="1" width="5.140625" hidden="1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hidden="1" customWidth="1"/>
    <col min="7" max="7" width="12" bestFit="1" customWidth="1"/>
    <col min="8" max="8" width="14.7109375" bestFit="1" customWidth="1"/>
    <col min="9" max="9" width="14.7109375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ht="30" customHeight="1" x14ac:dyDescent="0.25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</row>
    <row r="2" spans="1:31" s="24" customFormat="1" x14ac:dyDescent="0.25">
      <c r="A2" s="29" t="s">
        <v>7</v>
      </c>
      <c r="B2" s="29" t="s">
        <v>13</v>
      </c>
      <c r="C2" s="29" t="s">
        <v>19</v>
      </c>
      <c r="D2" s="29" t="s">
        <v>24</v>
      </c>
      <c r="E2" s="29" t="s">
        <v>23</v>
      </c>
      <c r="F2" s="29" t="s">
        <v>459</v>
      </c>
      <c r="G2" s="29" t="s">
        <v>8</v>
      </c>
      <c r="H2" s="29" t="s">
        <v>75</v>
      </c>
      <c r="I2" s="29" t="s">
        <v>76</v>
      </c>
      <c r="J2" s="29" t="s">
        <v>77</v>
      </c>
      <c r="K2" s="29" t="s">
        <v>78</v>
      </c>
      <c r="L2" s="29" t="s">
        <v>79</v>
      </c>
      <c r="M2" s="29" t="s">
        <v>80</v>
      </c>
      <c r="N2" s="29" t="s">
        <v>81</v>
      </c>
      <c r="O2" s="29" t="s">
        <v>82</v>
      </c>
      <c r="P2" s="29" t="s">
        <v>84</v>
      </c>
      <c r="Q2" s="29" t="s">
        <v>85</v>
      </c>
      <c r="R2" s="29" t="s">
        <v>86</v>
      </c>
      <c r="S2" s="29" t="s">
        <v>87</v>
      </c>
      <c r="T2" s="29" t="s">
        <v>88</v>
      </c>
      <c r="U2" s="29" t="s">
        <v>89</v>
      </c>
      <c r="V2" s="29" t="s">
        <v>90</v>
      </c>
      <c r="W2" s="29" t="s">
        <v>91</v>
      </c>
      <c r="X2" s="29" t="s">
        <v>92</v>
      </c>
      <c r="Y2" s="29" t="s">
        <v>93</v>
      </c>
      <c r="Z2" s="29" t="s">
        <v>47</v>
      </c>
      <c r="AA2" s="29" t="s">
        <v>94</v>
      </c>
      <c r="AB2" s="29" t="s">
        <v>95</v>
      </c>
      <c r="AC2" s="29" t="s">
        <v>96</v>
      </c>
      <c r="AD2" s="29" t="s">
        <v>97</v>
      </c>
      <c r="AE2" s="29" t="s">
        <v>98</v>
      </c>
    </row>
    <row r="3" spans="1:31" x14ac:dyDescent="0.25">
      <c r="A3" t="str">
        <f>"SE"&amp;ROW()-1</f>
        <v>SE2</v>
      </c>
      <c r="B3" t="s">
        <v>0</v>
      </c>
      <c r="C3" t="s">
        <v>343</v>
      </c>
      <c r="E3" t="s">
        <v>470</v>
      </c>
      <c r="F3" t="str">
        <f>"LAYER"</f>
        <v>LAYER</v>
      </c>
      <c r="G3">
        <v>1</v>
      </c>
      <c r="H3" t="s">
        <v>190</v>
      </c>
      <c r="I3" t="s">
        <v>189</v>
      </c>
      <c r="J3" t="s">
        <v>311</v>
      </c>
      <c r="L3">
        <v>5</v>
      </c>
      <c r="M3">
        <f ca="1">Erkundungsstelle.Sample.Table[[#This Row],[TIEFE_ENDE]]-Erkundungsstelle.Sample.Table[[#This Row],[DICKE]]</f>
        <v>0</v>
      </c>
      <c r="N3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5</v>
      </c>
      <c r="O3" t="s">
        <v>220</v>
      </c>
      <c r="P3" t="s">
        <v>216</v>
      </c>
      <c r="Q3" t="s">
        <v>450</v>
      </c>
      <c r="R3" t="s">
        <v>217</v>
      </c>
      <c r="S3" t="s">
        <v>218</v>
      </c>
      <c r="T3" t="s">
        <v>219</v>
      </c>
      <c r="U3">
        <v>1</v>
      </c>
      <c r="V3">
        <v>1</v>
      </c>
      <c r="Y3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t="str">
        <f>IF(Erkundungsstelle.Sample.Table[[#This Row],[PECH]]="JA","auffällig",IF(Erkundungsstelle.Sample.Table[[#This Row],[ART]]&lt;&gt;"","neutral",""))</f>
        <v>auffällig</v>
      </c>
      <c r="AA3">
        <v>1</v>
      </c>
      <c r="AB3" t="s">
        <v>451</v>
      </c>
      <c r="AC3" t="s">
        <v>451</v>
      </c>
      <c r="AD3" t="s">
        <v>220</v>
      </c>
      <c r="AE3" t="s">
        <v>451</v>
      </c>
    </row>
    <row r="4" spans="1:31" x14ac:dyDescent="0.25">
      <c r="A4" t="str">
        <f t="shared" ref="A4" si="0">"SE"&amp;ROW()-1</f>
        <v>SE3</v>
      </c>
      <c r="B4" t="s">
        <v>0</v>
      </c>
      <c r="C4" t="s">
        <v>3</v>
      </c>
      <c r="D4" t="s">
        <v>469</v>
      </c>
      <c r="F4" t="str">
        <f>"LAYER"</f>
        <v>LAYER</v>
      </c>
      <c r="G4">
        <v>2</v>
      </c>
      <c r="H4" t="s">
        <v>190</v>
      </c>
      <c r="I4" t="s">
        <v>189</v>
      </c>
      <c r="J4" t="s">
        <v>311</v>
      </c>
      <c r="L4">
        <v>3</v>
      </c>
      <c r="M4" t="e">
        <f ca="1">Erkundungsstelle.Sample.Table[[#This Row],[TIEFE_ENDE]]-Erkundungsstelle.Sample.Table[[#This Row],[DICKE]]</f>
        <v>#VALUE!</v>
      </c>
      <c r="N4" t="e" cm="1">
        <f t="array" aca="1" ref="N4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4" t="s">
        <v>191</v>
      </c>
      <c r="P4" t="s">
        <v>233</v>
      </c>
      <c r="Q4" t="s">
        <v>443</v>
      </c>
      <c r="R4" t="s">
        <v>234</v>
      </c>
      <c r="S4" t="s">
        <v>235</v>
      </c>
      <c r="T4" t="s">
        <v>236</v>
      </c>
      <c r="U4">
        <v>2</v>
      </c>
      <c r="V4">
        <v>2</v>
      </c>
      <c r="Y4" t="str" cm="1">
        <f t="array" ref="Y4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4" t="str">
        <f>IF(Erkundungsstelle.Sample.Table[[#This Row],[PECH]]="JA","auffällig",IF(Erkundungsstelle.Sample.Table[[#This Row],[ART]]&lt;&gt;"","neutral",""))</f>
        <v>neutral</v>
      </c>
      <c r="AA4">
        <v>2</v>
      </c>
      <c r="AB4" t="s">
        <v>452</v>
      </c>
      <c r="AC4" t="s">
        <v>452</v>
      </c>
      <c r="AD4" t="s">
        <v>191</v>
      </c>
      <c r="AE4" t="s">
        <v>452</v>
      </c>
    </row>
  </sheetData>
  <mergeCells count="1">
    <mergeCell ref="B1:AE1"/>
  </mergeCells>
  <dataValidations count="20">
    <dataValidation type="list" allowBlank="1" showInputMessage="1" showErrorMessage="1" sqref="E3:E4" xr:uid="{606FD157-69C7-4181-BEEF-39619C01D709}">
      <formula1>LP_ID</formula1>
    </dataValidation>
    <dataValidation type="list" allowBlank="1" showInputMessage="1" showErrorMessage="1" sqref="B3:B4" xr:uid="{9137DDE7-64B6-4EC2-87C7-BBDDB0A58C79}">
      <formula1>ERK_ID</formula1>
    </dataValidation>
    <dataValidation type="list" allowBlank="1" showInputMessage="1" showErrorMessage="1" sqref="D4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3:AD4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3:X4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3:T4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3:S4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3:R4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3:P4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3:O4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4" xr:uid="{8DF64396-2A47-4FDF-BCFB-19DF6266431B}">
      <formula1>AUFSCHLUSS_AUSWAHL</formula1>
    </dataValidation>
    <dataValidation type="list" allowBlank="1" showInputMessage="1" showErrorMessage="1" sqref="C3:C4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58C7B0C8-6C26-465A-8E4F-92BB1DCE0826}"/>
    <dataValidation allowBlank="1" showInputMessage="1" showErrorMessage="1" errorTitle="Fehler!" error="Ungültige Eingabe." promptTitle="Pechnachweis" prompt="Wählen Sie aus der Liste aus." sqref="O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" xr:uid="{396FDD5E-3FD9-43C5-AA12-5D986EE90021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8"/>
  <sheetViews>
    <sheetView workbookViewId="0">
      <selection activeCell="E7" sqref="E7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2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2" t="s">
        <v>7</v>
      </c>
      <c r="B1" s="12" t="s">
        <v>459</v>
      </c>
      <c r="C1" s="12" t="s">
        <v>8</v>
      </c>
      <c r="D1" s="38" t="s">
        <v>9</v>
      </c>
      <c r="E1" s="13" t="s">
        <v>10</v>
      </c>
      <c r="F1" s="13" t="s">
        <v>11</v>
      </c>
      <c r="G1" s="13" t="s">
        <v>29</v>
      </c>
      <c r="H1" s="13" t="s">
        <v>30</v>
      </c>
      <c r="I1" s="13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2" t="s">
        <v>478</v>
      </c>
      <c r="E2" t="s">
        <v>346</v>
      </c>
      <c r="F2" t="s">
        <v>336</v>
      </c>
      <c r="G2" t="s">
        <v>347</v>
      </c>
      <c r="H2" t="s">
        <v>339</v>
      </c>
      <c r="I2" s="9" t="s">
        <v>340</v>
      </c>
    </row>
    <row r="3" spans="1:9" x14ac:dyDescent="0.25">
      <c r="B3" t="str">
        <f>"HEAP"</f>
        <v>HEAP</v>
      </c>
      <c r="D3" s="22">
        <v>44197</v>
      </c>
      <c r="I3" s="9"/>
    </row>
    <row r="4" spans="1:9" x14ac:dyDescent="0.25">
      <c r="I4" s="9"/>
    </row>
    <row r="5" spans="1:9" x14ac:dyDescent="0.25">
      <c r="I5" s="9"/>
    </row>
    <row r="6" spans="1:9" x14ac:dyDescent="0.25">
      <c r="I6" s="9"/>
    </row>
    <row r="7" spans="1:9" x14ac:dyDescent="0.25">
      <c r="I7" s="9"/>
    </row>
    <row r="8" spans="1:9" x14ac:dyDescent="0.25">
      <c r="I8" s="9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3"/>
  <sheetViews>
    <sheetView topLeftCell="B1" workbookViewId="0">
      <selection activeCell="J15" sqref="J15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0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0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2" t="s">
        <v>7</v>
      </c>
      <c r="B1" s="12" t="s">
        <v>13</v>
      </c>
      <c r="C1" s="12" t="s">
        <v>19</v>
      </c>
      <c r="D1" s="12" t="s">
        <v>459</v>
      </c>
      <c r="E1" s="12" t="s">
        <v>8</v>
      </c>
      <c r="F1" s="12" t="s">
        <v>75</v>
      </c>
      <c r="G1" s="12" t="s">
        <v>76</v>
      </c>
      <c r="H1" s="14" t="s">
        <v>77</v>
      </c>
      <c r="I1" s="12" t="s">
        <v>93</v>
      </c>
      <c r="J1" s="12" t="s">
        <v>100</v>
      </c>
      <c r="K1" s="12" t="s">
        <v>101</v>
      </c>
      <c r="L1" s="12" t="s">
        <v>92</v>
      </c>
      <c r="M1" s="12" t="s">
        <v>85</v>
      </c>
      <c r="N1" s="12" t="s">
        <v>47</v>
      </c>
      <c r="O1" s="14" t="s">
        <v>78</v>
      </c>
      <c r="P1" s="12" t="s">
        <v>82</v>
      </c>
      <c r="Q1" s="12" t="s">
        <v>86</v>
      </c>
      <c r="R1" s="12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345</v>
      </c>
      <c r="H2" s="10" t="s">
        <v>344</v>
      </c>
      <c r="I2" t="s">
        <v>348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232</v>
      </c>
      <c r="M2" t="s">
        <v>349</v>
      </c>
      <c r="N2" t="s">
        <v>304</v>
      </c>
      <c r="Q2" t="s">
        <v>234</v>
      </c>
      <c r="R2" t="s">
        <v>350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343</v>
      </c>
      <c r="D3" t="str">
        <f>"PIECE"</f>
        <v>PIECE</v>
      </c>
      <c r="E3">
        <v>2</v>
      </c>
      <c r="F3" t="str">
        <f t="shared" si="0"/>
        <v>HAUFWERK</v>
      </c>
      <c r="G3" t="s">
        <v>444</v>
      </c>
      <c r="H3" s="10" t="s">
        <v>446</v>
      </c>
      <c r="I3" t="s">
        <v>444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443</v>
      </c>
      <c r="N3" t="s">
        <v>447</v>
      </c>
      <c r="O3" s="10" t="s">
        <v>448</v>
      </c>
      <c r="P3" t="s">
        <v>220</v>
      </c>
      <c r="Q3" t="s">
        <v>263</v>
      </c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4"/>
  <sheetViews>
    <sheetView workbookViewId="0">
      <selection activeCell="D6" sqref="D6"/>
    </sheetView>
  </sheetViews>
  <sheetFormatPr baseColWidth="10"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style="22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1" t="s">
        <v>7</v>
      </c>
      <c r="B1" s="11" t="s">
        <v>459</v>
      </c>
      <c r="C1" s="11" t="s">
        <v>8</v>
      </c>
      <c r="D1" s="39" t="s">
        <v>9</v>
      </c>
      <c r="E1" s="11" t="s">
        <v>12</v>
      </c>
      <c r="F1" s="11" t="s">
        <v>46</v>
      </c>
      <c r="G1" s="11" t="s">
        <v>47</v>
      </c>
      <c r="H1" s="11" t="s">
        <v>48</v>
      </c>
      <c r="I1" s="11" t="s">
        <v>299</v>
      </c>
      <c r="J1" s="11" t="s">
        <v>49</v>
      </c>
      <c r="K1" s="11" t="s">
        <v>50</v>
      </c>
      <c r="L1" s="11" t="s">
        <v>51</v>
      </c>
    </row>
    <row r="2" spans="1:12" x14ac:dyDescent="0.25">
      <c r="A2" t="s">
        <v>445</v>
      </c>
      <c r="B2" t="str">
        <f t="shared" ref="B2:B3" si="0">"BUILDING"</f>
        <v>BUILDING</v>
      </c>
      <c r="C2">
        <v>0</v>
      </c>
      <c r="D2" s="22">
        <v>44321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2">
        <v>44165</v>
      </c>
      <c r="E3" t="s">
        <v>353</v>
      </c>
      <c r="F3" t="s">
        <v>295</v>
      </c>
      <c r="H3" t="s">
        <v>354</v>
      </c>
      <c r="I3" t="s">
        <v>353</v>
      </c>
      <c r="J3" t="s">
        <v>355</v>
      </c>
      <c r="L3" t="s">
        <v>410</v>
      </c>
    </row>
    <row r="4" spans="1:12" x14ac:dyDescent="0.25">
      <c r="B4" t="str">
        <f>"BUILDING"</f>
        <v>BUILDING</v>
      </c>
      <c r="D4" s="22">
        <v>44197</v>
      </c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2:L1048576" xr:uid="{8CDCC3CC-8229-4BFD-8817-7A9A8D721E9D}">
      <formula1>ENTNAHME_AUSWAHL</formula1>
    </dataValidation>
    <dataValidation type="list" errorStyle="information" allowBlank="1" showInputMessage="1" sqref="E12:E1048576" xr:uid="{4C14746D-B56B-48AD-917E-4755FBBF5E40}">
      <formula1>GEBAUDE_BAUTEIL_AUSWAHL</formula1>
    </dataValidation>
    <dataValidation type="list" errorStyle="information" allowBlank="1" showInputMessage="1" sqref="F12:F1048576" xr:uid="{2E1B5F08-DC20-4E81-975A-BE01EA3F3CFD}">
      <formula1>GEBAUDE_CHARAKTER_AUSWAHL</formula1>
    </dataValidation>
    <dataValidation type="list" allowBlank="1" showInputMessage="1" sqref="G12:G1048576" xr:uid="{32892F23-B6B8-4D8B-9360-D2764F4A32C0}">
      <formula1>GEBAUDE_GERUCH_AUSWAHL</formula1>
    </dataValidation>
    <dataValidation type="list" allowBlank="1" showInputMessage="1" sqref="J12:J1048576" xr:uid="{915EE2A1-55E0-4768-84A3-03ABEC565053}">
      <formula1>ETAGEN_AUSWAHL</formula1>
    </dataValidation>
    <dataValidation type="list" allowBlank="1" showInputMessage="1" showErrorMessage="1" sqref="L3:L11" xr:uid="{D22D0BD7-C6FC-4E8C-8CED-77F2D9EDEF9D}">
      <formula1>ENTNAHME_AUSWAHL</formula1>
    </dataValidation>
    <dataValidation type="list" allowBlank="1" showInputMessage="1" showErrorMessage="1" sqref="J3:J11" xr:uid="{F2ACDFCA-3B40-46C0-BCC3-2474FBA54753}">
      <formula1>ETAGEN_AUSWAHL</formula1>
    </dataValidation>
    <dataValidation type="list" allowBlank="1" showInputMessage="1" showErrorMessage="1" sqref="G3:G11" xr:uid="{8CE29388-AFC8-42B9-ADB4-8138C8390CE8}">
      <formula1>GEBAUDE_GERUCH_AUSWAHL</formula1>
    </dataValidation>
    <dataValidation type="list" allowBlank="1" showInputMessage="1" showErrorMessage="1" sqref="F3:F11" xr:uid="{A74925F9-6FC3-4F89-A933-0CB5DF70FBB6}">
      <formula1>GEBAUDE_CHARAKTER_AUSWAHL</formula1>
    </dataValidation>
    <dataValidation type="list" allowBlank="1" showInputMessage="1" showErrorMessage="1" sqref="E3:E11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opLeftCell="B1" workbookViewId="0">
      <selection activeCell="E8" sqref="E8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18" t="s">
        <v>7</v>
      </c>
      <c r="B1" s="16" t="s">
        <v>13</v>
      </c>
      <c r="C1" s="17" t="s">
        <v>19</v>
      </c>
      <c r="D1" s="18" t="s">
        <v>459</v>
      </c>
      <c r="E1" s="18" t="s">
        <v>8</v>
      </c>
      <c r="F1" s="18" t="s">
        <v>75</v>
      </c>
      <c r="G1" s="18" t="s">
        <v>99</v>
      </c>
      <c r="H1" s="18" t="s">
        <v>85</v>
      </c>
      <c r="I1" s="18" t="s">
        <v>79</v>
      </c>
      <c r="J1" s="18" t="s">
        <v>80</v>
      </c>
      <c r="K1" s="18" t="s">
        <v>81</v>
      </c>
      <c r="L1" s="18" t="s">
        <v>51</v>
      </c>
      <c r="M1" s="18" t="s">
        <v>434</v>
      </c>
      <c r="N1" s="18" t="s">
        <v>102</v>
      </c>
      <c r="O1" s="19" t="s">
        <v>103</v>
      </c>
      <c r="P1" s="17" t="s">
        <v>301</v>
      </c>
    </row>
    <row r="2" spans="1:16" x14ac:dyDescent="0.25">
      <c r="A2" t="str">
        <f t="shared" ref="A2:A3" si="0">"SB"&amp;ROW()-1</f>
        <v>SB1</v>
      </c>
      <c r="B2" t="s">
        <v>445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343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I25"/>
  <sheetViews>
    <sheetView topLeftCell="Z1" workbookViewId="0">
      <selection activeCell="AI1" sqref="AI1"/>
    </sheetView>
  </sheetViews>
  <sheetFormatPr baseColWidth="10" defaultColWidth="11.42578125" defaultRowHeight="15" x14ac:dyDescent="0.25"/>
  <cols>
    <col min="1" max="1" width="23" customWidth="1"/>
    <col min="2" max="2" width="24.140625" customWidth="1"/>
    <col min="3" max="3" width="27.28515625" customWidth="1"/>
    <col min="4" max="4" width="21.28515625" customWidth="1"/>
    <col min="5" max="5" width="22.5703125" customWidth="1"/>
    <col min="6" max="6" width="24.140625" customWidth="1"/>
    <col min="7" max="7" width="35.85546875" customWidth="1"/>
    <col min="8" max="8" width="16.5703125" customWidth="1"/>
    <col min="9" max="9" width="19.42578125" customWidth="1"/>
    <col min="10" max="10" width="19.140625" customWidth="1"/>
    <col min="11" max="11" width="38.85546875" customWidth="1"/>
    <col min="12" max="12" width="20.28515625" customWidth="1"/>
    <col min="13" max="13" width="15.7109375" customWidth="1"/>
    <col min="14" max="14" width="30.7109375" customWidth="1"/>
    <col min="15" max="15" width="16.7109375" bestFit="1" customWidth="1"/>
    <col min="16" max="16" width="17.42578125" customWidth="1"/>
    <col min="17" max="17" width="22.42578125" customWidth="1"/>
    <col min="18" max="18" width="23.42578125" customWidth="1"/>
    <col min="19" max="19" width="29.85546875" customWidth="1"/>
    <col min="20" max="20" width="18" customWidth="1"/>
    <col min="21" max="21" width="25.28515625" style="10" customWidth="1"/>
    <col min="22" max="22" width="14.42578125" customWidth="1"/>
    <col min="23" max="23" width="141" bestFit="1" customWidth="1"/>
    <col min="24" max="24" width="18.5703125" customWidth="1"/>
    <col min="25" max="25" width="20" customWidth="1"/>
    <col min="26" max="26" width="23.140625" customWidth="1"/>
    <col min="27" max="27" width="20.140625" customWidth="1"/>
    <col min="28" max="28" width="19.85546875" customWidth="1"/>
    <col min="29" max="29" width="23" customWidth="1"/>
    <col min="30" max="30" width="24.28515625" style="10" customWidth="1"/>
    <col min="31" max="31" width="16.7109375" customWidth="1"/>
    <col min="32" max="32" width="20.140625" customWidth="1"/>
    <col min="33" max="34" width="17.28515625" customWidth="1"/>
    <col min="35" max="35" width="21.85546875" customWidth="1"/>
  </cols>
  <sheetData>
    <row r="1" spans="1:35" s="7" customFormat="1" x14ac:dyDescent="0.25">
      <c r="A1" s="7" t="s">
        <v>192</v>
      </c>
      <c r="B1" s="7" t="s">
        <v>193</v>
      </c>
      <c r="C1" s="7" t="s">
        <v>194</v>
      </c>
      <c r="D1" s="7" t="s">
        <v>195</v>
      </c>
      <c r="E1" s="7" t="s">
        <v>196</v>
      </c>
      <c r="F1" s="7" t="s">
        <v>197</v>
      </c>
      <c r="G1" s="7" t="s">
        <v>198</v>
      </c>
      <c r="H1" s="7" t="s">
        <v>199</v>
      </c>
      <c r="I1" s="7" t="s">
        <v>200</v>
      </c>
      <c r="J1" s="7" t="s">
        <v>201</v>
      </c>
      <c r="K1" s="7" t="s">
        <v>202</v>
      </c>
      <c r="L1" s="7" t="s">
        <v>203</v>
      </c>
      <c r="M1" s="7" t="s">
        <v>204</v>
      </c>
      <c r="N1" s="7" t="s">
        <v>205</v>
      </c>
      <c r="O1" s="7" t="s">
        <v>206</v>
      </c>
      <c r="P1" s="7" t="s">
        <v>207</v>
      </c>
      <c r="Q1" s="7" t="s">
        <v>208</v>
      </c>
      <c r="R1" s="7" t="s">
        <v>209</v>
      </c>
      <c r="S1" s="7" t="s">
        <v>210</v>
      </c>
      <c r="T1" s="7" t="s">
        <v>211</v>
      </c>
      <c r="U1" s="15" t="s">
        <v>212</v>
      </c>
      <c r="V1" s="7" t="s">
        <v>213</v>
      </c>
      <c r="W1" s="7" t="s">
        <v>214</v>
      </c>
      <c r="X1" s="7" t="s">
        <v>312</v>
      </c>
      <c r="Y1" s="7" t="s">
        <v>388</v>
      </c>
      <c r="Z1" s="7" t="s">
        <v>389</v>
      </c>
      <c r="AA1" s="7" t="s">
        <v>385</v>
      </c>
      <c r="AB1" s="7" t="s">
        <v>378</v>
      </c>
      <c r="AC1" s="7" t="s">
        <v>390</v>
      </c>
      <c r="AD1" s="15" t="s">
        <v>391</v>
      </c>
      <c r="AE1" s="7" t="s">
        <v>106</v>
      </c>
      <c r="AF1" s="7" t="s">
        <v>176</v>
      </c>
      <c r="AG1" s="7" t="s">
        <v>403</v>
      </c>
      <c r="AH1" s="7" t="s">
        <v>482</v>
      </c>
      <c r="AI1" s="7" t="s">
        <v>483</v>
      </c>
    </row>
    <row r="2" spans="1:35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505</v>
      </c>
      <c r="N2" t="s">
        <v>223</v>
      </c>
      <c r="O2" t="s">
        <v>5</v>
      </c>
      <c r="P2" t="s">
        <v>224</v>
      </c>
      <c r="Q2" t="s">
        <v>225</v>
      </c>
      <c r="R2" t="s">
        <v>226</v>
      </c>
      <c r="S2" t="s">
        <v>227</v>
      </c>
      <c r="T2" t="s">
        <v>228</v>
      </c>
      <c r="U2" s="10" t="s">
        <v>229</v>
      </c>
      <c r="V2" t="s">
        <v>230</v>
      </c>
      <c r="W2" t="s">
        <v>298</v>
      </c>
      <c r="X2" t="s">
        <v>6</v>
      </c>
      <c r="Y2" t="s">
        <v>358</v>
      </c>
      <c r="Z2" t="s">
        <v>295</v>
      </c>
      <c r="AA2" t="s">
        <v>374</v>
      </c>
      <c r="AB2" t="s">
        <v>379</v>
      </c>
      <c r="AC2" t="s">
        <v>409</v>
      </c>
      <c r="AD2" s="10" t="s">
        <v>366</v>
      </c>
      <c r="AE2" t="s">
        <v>5</v>
      </c>
      <c r="AF2" t="s">
        <v>224</v>
      </c>
      <c r="AG2" t="s">
        <v>404</v>
      </c>
      <c r="AH2" t="s">
        <v>506</v>
      </c>
      <c r="AI2" t="s">
        <v>522</v>
      </c>
    </row>
    <row r="3" spans="1:35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191</v>
      </c>
      <c r="H3" t="s">
        <v>237</v>
      </c>
      <c r="I3" t="s">
        <v>238</v>
      </c>
      <c r="J3" t="s">
        <v>238</v>
      </c>
      <c r="K3" t="s">
        <v>239</v>
      </c>
      <c r="L3" t="s">
        <v>240</v>
      </c>
      <c r="M3" t="s">
        <v>471</v>
      </c>
      <c r="N3" t="s">
        <v>471</v>
      </c>
      <c r="O3" t="s">
        <v>239</v>
      </c>
      <c r="P3" t="s">
        <v>241</v>
      </c>
      <c r="Q3" t="s">
        <v>242</v>
      </c>
      <c r="R3" t="s">
        <v>243</v>
      </c>
      <c r="S3" t="s">
        <v>244</v>
      </c>
      <c r="T3" t="s">
        <v>245</v>
      </c>
      <c r="U3" s="10">
        <v>0.3</v>
      </c>
      <c r="V3" t="s">
        <v>246</v>
      </c>
      <c r="W3" t="s">
        <v>259</v>
      </c>
      <c r="X3" t="s">
        <v>310</v>
      </c>
      <c r="Y3" t="s">
        <v>361</v>
      </c>
      <c r="Z3" t="s">
        <v>357</v>
      </c>
      <c r="AA3" t="s">
        <v>375</v>
      </c>
      <c r="AB3" t="s">
        <v>380</v>
      </c>
      <c r="AC3" t="s">
        <v>410</v>
      </c>
      <c r="AD3" s="10" t="s">
        <v>400</v>
      </c>
      <c r="AE3" t="s">
        <v>239</v>
      </c>
      <c r="AF3" t="s">
        <v>241</v>
      </c>
      <c r="AG3" t="s">
        <v>405</v>
      </c>
      <c r="AH3" t="s">
        <v>507</v>
      </c>
      <c r="AI3" t="s">
        <v>523</v>
      </c>
    </row>
    <row r="4" spans="1:35" x14ac:dyDescent="0.25">
      <c r="A4" t="s">
        <v>248</v>
      </c>
      <c r="B4" t="s">
        <v>249</v>
      </c>
      <c r="C4" t="s">
        <v>250</v>
      </c>
      <c r="D4" t="s">
        <v>251</v>
      </c>
      <c r="E4" t="s">
        <v>252</v>
      </c>
      <c r="F4" t="s">
        <v>253</v>
      </c>
      <c r="H4" t="s">
        <v>408</v>
      </c>
      <c r="I4" t="s">
        <v>254</v>
      </c>
      <c r="J4" t="s">
        <v>254</v>
      </c>
      <c r="L4" t="s">
        <v>255</v>
      </c>
      <c r="M4" t="s">
        <v>473</v>
      </c>
      <c r="N4" t="s">
        <v>473</v>
      </c>
      <c r="Q4" t="s">
        <v>256</v>
      </c>
      <c r="R4" t="s">
        <v>227</v>
      </c>
      <c r="S4" t="s">
        <v>226</v>
      </c>
      <c r="T4" t="s">
        <v>257</v>
      </c>
      <c r="U4" s="10" t="s">
        <v>481</v>
      </c>
      <c r="V4" t="s">
        <v>258</v>
      </c>
      <c r="W4" t="s">
        <v>270</v>
      </c>
      <c r="Y4" t="s">
        <v>360</v>
      </c>
      <c r="Z4" t="s">
        <v>373</v>
      </c>
      <c r="AA4" t="s">
        <v>376</v>
      </c>
      <c r="AB4" t="s">
        <v>359</v>
      </c>
      <c r="AC4" t="s">
        <v>411</v>
      </c>
      <c r="AD4" s="10" t="s">
        <v>367</v>
      </c>
      <c r="AH4" t="s">
        <v>518</v>
      </c>
      <c r="AI4" t="s">
        <v>524</v>
      </c>
    </row>
    <row r="5" spans="1:35" x14ac:dyDescent="0.25">
      <c r="A5" t="s">
        <v>260</v>
      </c>
      <c r="B5" t="s">
        <v>261</v>
      </c>
      <c r="C5" t="s">
        <v>262</v>
      </c>
      <c r="D5" t="s">
        <v>263</v>
      </c>
      <c r="E5" t="s">
        <v>264</v>
      </c>
      <c r="F5" t="s">
        <v>265</v>
      </c>
      <c r="H5" t="s">
        <v>433</v>
      </c>
      <c r="I5" t="s">
        <v>266</v>
      </c>
      <c r="J5" t="s">
        <v>266</v>
      </c>
      <c r="L5" t="s">
        <v>267</v>
      </c>
      <c r="M5" t="s">
        <v>474</v>
      </c>
      <c r="Q5" t="s">
        <v>268</v>
      </c>
      <c r="S5" t="s">
        <v>243</v>
      </c>
      <c r="U5" s="10">
        <v>1.8</v>
      </c>
      <c r="V5" t="s">
        <v>269</v>
      </c>
      <c r="W5" t="s">
        <v>278</v>
      </c>
      <c r="Y5" t="s">
        <v>368</v>
      </c>
      <c r="Z5" t="s">
        <v>356</v>
      </c>
      <c r="AA5" t="s">
        <v>377</v>
      </c>
      <c r="AB5" t="s">
        <v>381</v>
      </c>
      <c r="AC5" t="s">
        <v>412</v>
      </c>
      <c r="AD5" s="10" t="s">
        <v>401</v>
      </c>
      <c r="AH5" t="s">
        <v>485</v>
      </c>
      <c r="AI5" t="s">
        <v>525</v>
      </c>
    </row>
    <row r="6" spans="1:35" x14ac:dyDescent="0.25">
      <c r="A6" t="s">
        <v>271</v>
      </c>
      <c r="B6" t="s">
        <v>272</v>
      </c>
      <c r="E6" t="s">
        <v>273</v>
      </c>
      <c r="F6" t="s">
        <v>274</v>
      </c>
      <c r="I6" t="s">
        <v>275</v>
      </c>
      <c r="J6" t="s">
        <v>275</v>
      </c>
      <c r="M6" t="s">
        <v>475</v>
      </c>
      <c r="Q6" t="s">
        <v>276</v>
      </c>
      <c r="U6" s="10">
        <v>3.2</v>
      </c>
      <c r="V6" t="s">
        <v>277</v>
      </c>
      <c r="W6" t="s">
        <v>284</v>
      </c>
      <c r="Y6" t="s">
        <v>369</v>
      </c>
      <c r="AB6" t="s">
        <v>355</v>
      </c>
      <c r="AC6" t="s">
        <v>425</v>
      </c>
      <c r="AD6" s="10" t="s">
        <v>402</v>
      </c>
      <c r="AH6" t="s">
        <v>508</v>
      </c>
      <c r="AI6" t="s">
        <v>526</v>
      </c>
    </row>
    <row r="7" spans="1:35" x14ac:dyDescent="0.25">
      <c r="A7" t="s">
        <v>279</v>
      </c>
      <c r="E7" t="s">
        <v>280</v>
      </c>
      <c r="I7" t="s">
        <v>281</v>
      </c>
      <c r="J7" t="s">
        <v>281</v>
      </c>
      <c r="Q7" t="s">
        <v>282</v>
      </c>
      <c r="U7" s="10">
        <v>10</v>
      </c>
      <c r="V7" t="s">
        <v>283</v>
      </c>
      <c r="W7" t="s">
        <v>289</v>
      </c>
      <c r="Y7" t="s">
        <v>353</v>
      </c>
      <c r="AB7" t="s">
        <v>382</v>
      </c>
      <c r="AC7" t="s">
        <v>426</v>
      </c>
      <c r="AD7" s="10" t="s">
        <v>393</v>
      </c>
      <c r="AH7" t="s">
        <v>509</v>
      </c>
      <c r="AI7" t="s">
        <v>486</v>
      </c>
    </row>
    <row r="8" spans="1:35" x14ac:dyDescent="0.25">
      <c r="A8" t="s">
        <v>285</v>
      </c>
      <c r="E8" t="s">
        <v>286</v>
      </c>
      <c r="Q8" t="s">
        <v>287</v>
      </c>
      <c r="U8" s="10">
        <v>32</v>
      </c>
      <c r="V8" t="s">
        <v>288</v>
      </c>
      <c r="W8" t="s">
        <v>293</v>
      </c>
      <c r="Y8" t="s">
        <v>370</v>
      </c>
      <c r="AB8" t="s">
        <v>383</v>
      </c>
      <c r="AC8" t="s">
        <v>427</v>
      </c>
      <c r="AD8" s="10" t="s">
        <v>362</v>
      </c>
      <c r="AH8" t="s">
        <v>510</v>
      </c>
      <c r="AI8" t="s">
        <v>527</v>
      </c>
    </row>
    <row r="9" spans="1:35" x14ac:dyDescent="0.25">
      <c r="A9" t="s">
        <v>290</v>
      </c>
      <c r="E9" t="s">
        <v>291</v>
      </c>
      <c r="Q9" t="s">
        <v>243</v>
      </c>
      <c r="U9" s="10">
        <v>100</v>
      </c>
      <c r="V9" t="s">
        <v>292</v>
      </c>
      <c r="W9" t="s">
        <v>296</v>
      </c>
      <c r="Y9" t="s">
        <v>371</v>
      </c>
      <c r="AB9" t="s">
        <v>384</v>
      </c>
      <c r="AC9" t="s">
        <v>428</v>
      </c>
      <c r="AD9" s="10" t="s">
        <v>394</v>
      </c>
      <c r="AH9" t="s">
        <v>511</v>
      </c>
      <c r="AI9" t="s">
        <v>528</v>
      </c>
    </row>
    <row r="10" spans="1:35" x14ac:dyDescent="0.25">
      <c r="A10" t="s">
        <v>294</v>
      </c>
      <c r="E10" t="s">
        <v>295</v>
      </c>
      <c r="W10" t="s">
        <v>247</v>
      </c>
      <c r="Y10" t="s">
        <v>372</v>
      </c>
      <c r="AB10" t="s">
        <v>386</v>
      </c>
      <c r="AC10" t="s">
        <v>413</v>
      </c>
      <c r="AD10" s="10" t="s">
        <v>395</v>
      </c>
      <c r="AH10" t="s">
        <v>512</v>
      </c>
      <c r="AI10" t="s">
        <v>529</v>
      </c>
    </row>
    <row r="11" spans="1:35" x14ac:dyDescent="0.25">
      <c r="A11" s="6" t="s">
        <v>297</v>
      </c>
      <c r="AB11" t="s">
        <v>387</v>
      </c>
      <c r="AC11" t="s">
        <v>414</v>
      </c>
      <c r="AD11" s="10" t="s">
        <v>363</v>
      </c>
      <c r="AH11" t="s">
        <v>513</v>
      </c>
      <c r="AI11" t="s">
        <v>530</v>
      </c>
    </row>
    <row r="12" spans="1:35" x14ac:dyDescent="0.25">
      <c r="AC12" t="s">
        <v>415</v>
      </c>
      <c r="AD12" s="10" t="s">
        <v>396</v>
      </c>
      <c r="AH12" t="s">
        <v>514</v>
      </c>
      <c r="AI12" t="s">
        <v>531</v>
      </c>
    </row>
    <row r="13" spans="1:35" x14ac:dyDescent="0.25">
      <c r="AC13" t="s">
        <v>416</v>
      </c>
      <c r="AD13" s="10" t="s">
        <v>397</v>
      </c>
      <c r="AH13" t="s">
        <v>516</v>
      </c>
      <c r="AI13" t="s">
        <v>532</v>
      </c>
    </row>
    <row r="14" spans="1:35" x14ac:dyDescent="0.25">
      <c r="AC14" t="s">
        <v>417</v>
      </c>
      <c r="AD14" s="10" t="s">
        <v>398</v>
      </c>
      <c r="AH14" t="s">
        <v>515</v>
      </c>
      <c r="AI14" t="s">
        <v>533</v>
      </c>
    </row>
    <row r="15" spans="1:35" x14ac:dyDescent="0.25">
      <c r="AC15" t="s">
        <v>418</v>
      </c>
      <c r="AD15" s="10" t="s">
        <v>399</v>
      </c>
      <c r="AH15" t="s">
        <v>517</v>
      </c>
      <c r="AI15" t="s">
        <v>534</v>
      </c>
    </row>
    <row r="16" spans="1:35" x14ac:dyDescent="0.25">
      <c r="AC16" t="s">
        <v>419</v>
      </c>
      <c r="AD16" s="10" t="s">
        <v>364</v>
      </c>
      <c r="AI16" t="s">
        <v>535</v>
      </c>
    </row>
    <row r="17" spans="29:35" x14ac:dyDescent="0.25">
      <c r="AC17" t="s">
        <v>420</v>
      </c>
      <c r="AD17" s="10" t="s">
        <v>392</v>
      </c>
      <c r="AI17" t="s">
        <v>536</v>
      </c>
    </row>
    <row r="18" spans="29:35" x14ac:dyDescent="0.25">
      <c r="AC18" t="s">
        <v>421</v>
      </c>
      <c r="AD18" s="10" t="s">
        <v>365</v>
      </c>
      <c r="AI18" t="s">
        <v>537</v>
      </c>
    </row>
    <row r="19" spans="29:35" x14ac:dyDescent="0.25">
      <c r="AC19" t="s">
        <v>422</v>
      </c>
      <c r="AI19" t="s">
        <v>538</v>
      </c>
    </row>
    <row r="20" spans="29:35" x14ac:dyDescent="0.25">
      <c r="AC20" t="s">
        <v>423</v>
      </c>
      <c r="AI20" t="s">
        <v>539</v>
      </c>
    </row>
    <row r="21" spans="29:35" x14ac:dyDescent="0.25">
      <c r="AC21" t="s">
        <v>424</v>
      </c>
      <c r="AI21" t="s">
        <v>540</v>
      </c>
    </row>
    <row r="22" spans="29:35" x14ac:dyDescent="0.25">
      <c r="AC22" t="s">
        <v>429</v>
      </c>
      <c r="AI22" t="s">
        <v>541</v>
      </c>
    </row>
    <row r="23" spans="29:35" x14ac:dyDescent="0.25">
      <c r="AC23" t="s">
        <v>430</v>
      </c>
      <c r="AI23" t="s">
        <v>542</v>
      </c>
    </row>
    <row r="24" spans="29:35" x14ac:dyDescent="0.25">
      <c r="AC24" t="s">
        <v>431</v>
      </c>
      <c r="AI24" t="s">
        <v>543</v>
      </c>
    </row>
    <row r="25" spans="29:35" x14ac:dyDescent="0.25">
      <c r="AC25" t="s">
        <v>432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Daten</vt:lpstr>
      <vt:lpstr>DatenGebaeude</vt:lpstr>
      <vt:lpstr>DatenHaufwerk</vt:lpstr>
      <vt:lpstr>DatenErkundungsstelle</vt:lpstr>
      <vt:lpstr>Überblick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Vincent Görlich</cp:lastModifiedBy>
  <dcterms:created xsi:type="dcterms:W3CDTF">2021-07-27T08:53:06Z</dcterms:created>
  <dcterms:modified xsi:type="dcterms:W3CDTF">2024-01-20T08:10:19Z</dcterms:modified>
</cp:coreProperties>
</file>