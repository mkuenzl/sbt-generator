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"/>
    </mc:Choice>
  </mc:AlternateContent>
  <xr:revisionPtr revIDLastSave="0" documentId="13_ncr:1_{C90ABBE3-0E22-4D00-AFA1-EA6D311BCE4F}" xr6:coauthVersionLast="47" xr6:coauthVersionMax="47" xr10:uidLastSave="{00000000-0000-0000-0000-000000000000}"/>
  <bookViews>
    <workbookView xWindow="-120" yWindow="-120" windowWidth="29040" windowHeight="15840" tabRatio="914" firstSheet="3" activeTab="12" xr2:uid="{1E01BCA3-435A-488D-9BFC-9A2205937763}"/>
  </bookViews>
  <sheets>
    <sheet name="DatenGebaeude" sheetId="38" state="hidden" r:id="rId1"/>
    <sheet name="DatenHaufwerk" sheetId="37" state="hidden" r:id="rId2"/>
    <sheet name="DatenErkundungsstelle" sheetId="36" state="hidden" r:id="rId3"/>
    <sheet name="Chemie" sheetId="33" r:id="rId4"/>
    <sheet name="RuK" sheetId="17" r:id="rId5"/>
    <sheet name="LP" sheetId="18" r:id="rId6"/>
    <sheet name="Untersuchung ERK" sheetId="1" r:id="rId7"/>
    <sheet name="Probe ERK" sheetId="41" r:id="rId8"/>
    <sheet name="Untersuchung HAUF" sheetId="2" r:id="rId9"/>
    <sheet name="Probe HAUF" sheetId="10" r:id="rId10"/>
    <sheet name="Untersuchung GEB" sheetId="3" r:id="rId11"/>
    <sheet name="Probe GEB" sheetId="40" r:id="rId12"/>
    <sheet name="Daten" sheetId="42" r:id="rId13"/>
    <sheet name="Auswahl Listen" sheetId="29" state="hidden" r:id="rId14"/>
  </sheets>
  <functionGroups builtInGroupCount="19"/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2" hidden="1">DatenErkundungsstelle!$A$1:$DA$9</definedName>
    <definedName name="ExternalData_2" localSheetId="1" hidden="1">DatenHaufwerk!$A$1:$BB$3</definedName>
    <definedName name="ExternalData_3" localSheetId="0" hidden="1">DatenGebaeude!$A$1:$BC$3</definedName>
    <definedName name="ExterneDaten_1" localSheetId="12" hidden="1">Daten!$A$1:$DQ$13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7" i="1"/>
  <c r="B6" i="1"/>
  <c r="B5" i="1"/>
  <c r="A3" i="33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N3" i="41" a="1"/>
  <c r="N3" i="41" l="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N4" i="41" a="1"/>
  <c r="K3" i="40" a="1"/>
  <c r="K2" i="40" a="1"/>
  <c r="N4" i="41" l="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61F9B2-85CB-4C3E-A822-5AB0FE098475}" keepAlive="1" name="Abfrage - Combined:Data:Table" description="Verbindung mit der Abfrage 'Combined:Data:Table' in der Arbeitsmappe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2" xr16:uid="{8C7285E2-C75C-4119-A97E-B9A5CDEC58B3}" keepAlive="1" name="Abfrage - Combined:Data:Table (2)" description="Verbindung mit der Abfrage 'Combined:Data:Table (2)' in der Arbeitsmappe." type="5" refreshedVersion="8" background="1" saveData="1">
    <dbPr connection="Provider=Microsoft.Mashup.OleDb.1;Data Source=$Workbook$;Location=&quot;Combined:Data:Table (2)&quot;;Extended Properties=&quot;&quot;" command="SELECT * FROM [Combined:Data:Table (2)]"/>
  </connection>
  <connection id="3" xr16:uid="{ABBECA46-D1FB-444F-A9E0-A6A71817E01D}" keepAlive="1" name="Abfrage - Erkundungsstelle:Table" description="Verbindung mit der Abfrage 'Erkundungsstelle:Table' in der Arbeitsmappe." type="5" refreshedVersion="0" background="1">
    <dbPr connection="Provider=Microsoft.Mashup.OleDb.1;Data Source=$Workbook$;Location=Erkundungsstelle:Table;Extended Properties=&quot;&quot;" command="SELECT * FROM [Erkundungsstelle:Table]"/>
  </connection>
  <connection id="4" xr16:uid="{7B07D0A2-BFE7-4E1A-8D3D-78976EA5E2A1}" keepAlive="1" name="Abfrage - Haufwerk:Table" description="Verbindung mit der Abfrage 'Haufwerk:Table' in der Arbeitsmappe." type="5" refreshedVersion="0" background="1">
    <dbPr connection="Provider=Microsoft.Mashup.OleDb.1;Data Source=$Workbook$;Location=Haufwerk:Table;Extended Properties=&quot;&quot;" command="SELECT * FROM [Haufwerk:Table]"/>
  </connection>
  <connection id="5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6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7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8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9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0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1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2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3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4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<sst xmlns="http://schemas.openxmlformats.org/spreadsheetml/2006/main" count="1326" uniqueCount="498">
  <si>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</si>
  <si>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</si>
  <si>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</si>
  <si>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</si>
  <si>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</si>
  <si>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</si>
  <si>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</si>
  <si>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</si>
  <si>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</si>
  <si>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</si>
  <si>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</si>
  <si>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</si>
  <si>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</si>
  <si>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</si>
  <si>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</si>
  <si>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</si>
  <si>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</si>
  <si>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</si>
  <si>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</si>
  <si>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</si>
  <si>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</si>
  <si>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</si>
  <si>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</si>
  <si>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</si>
  <si>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</si>
  <si>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</si>
  <si>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</si>
  <si>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</si>
  <si>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</si>
  <si>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</si>
  <si>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</si>
  <si>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</si>
  <si>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</si>
  <si>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</si>
  <si>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</si>
  <si>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</si>
  <si>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</si>
  <si>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</si>
  <si>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</si>
  <si>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</si>
  <si>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</si>
  <si>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</si>
  <si>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</si>
  <si>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</si>
  <si>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</si>
  <si>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</si>
  <si>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</si>
  <si>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</si>
  <si>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</si>
  <si>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</si>
  <si>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</si>
  <si>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</si>
  <si>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</si>
  <si>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</si>
  <si>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</si>
  <si>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</si>
  <si>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</si>
  <si>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</si>
  <si>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</si>
  <si>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</si>
  <si>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</si>
  <si>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</si>
  <si>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</si>
  <si>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</si>
  <si>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</si>
  <si>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</si>
  <si>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</si>
  <si>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</si>
  <si>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</si>
  <si>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</si>
  <si>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</si>
  <si>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</si>
  <si>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</si>
  <si>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</si>
  <si>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</si>
  <si>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</si>
  <si>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</si>
  <si>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</si>
  <si>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</si>
  <si>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</si>
  <si>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</si>
  <si>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</si>
  <si>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</si>
  <si>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</si>
  <si>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</si>
  <si>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</si>
  <si>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</si>
  <si>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</si>
  <si>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</si>
  <si>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</si>
  <si>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</si>
  <si>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</si>
  <si>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</si>
  <si>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</si>
  <si>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</si>
  <si>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</si>
  <si>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</si>
  <si>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</si>
  <si>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</si>
  <si>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</si>
  <si>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</si>
  <si>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</si>
  <si>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</si>
  <si>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</si>
  <si>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</si>
  <si>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</si>
  <si>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</si>
  <si>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</si>
  <si>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</si>
  <si>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</si>
  <si>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</si>
  <si>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</si>
  <si>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</si>
  <si>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</si>
  <si>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</si>
  <si>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</si>
  <si>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</si>
  <si>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</si>
  <si>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</si>
  <si>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</si>
  <si>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</si>
  <si>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</si>
  <si>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</si>
  <si>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</si>
  <si>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</si>
  <si>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</si>
  <si>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</si>
  <si>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</si>
  <si>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</si>
  <si>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</si>
  <si>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</si>
  <si>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</si>
  <si>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</si>
  <si>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</si>
  <si>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</si>
  <si>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</si>
  <si>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</si>
  <si>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</si>
  <si>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</si>
  <si>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</si>
  <si>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</si>
  <si>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</si>
  <si>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</si>
  <si>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</si>
  <si>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</si>
  <si>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</si>
  <si>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</si>
  <si>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</si>
  <si>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</si>
  <si>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</si>
  <si>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</si>
  <si>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</si>
  <si>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</si>
  <si>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</si>
  <si>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</si>
  <si>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</si>
  <si>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</si>
  <si>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</si>
  <si>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</si>
  <si>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</si>
  <si>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</si>
  <si>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</si>
  <si>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</si>
  <si>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</si>
  <si>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</si>
  <si>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</si>
  <si>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</si>
  <si>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</si>
  <si>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</si>
  <si>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</si>
  <si>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</si>
  <si>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</si>
  <si>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</si>
  <si>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</si>
  <si>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</si>
  <si>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</si>
  <si>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</si>
  <si>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</si>
  <si>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</si>
  <si>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</si>
  <si>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</si>
  <si>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</si>
  <si>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</si>
  <si>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</si>
  <si>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</si>
  <si>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</si>
  <si>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</si>
  <si>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</si>
  <si>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</si>
  <si>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</si>
  <si>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</si>
  <si>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</si>
  <si>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</si>
  <si>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</si>
  <si>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</si>
  <si>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</si>
  <si>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</si>
  <si>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</si>
  <si>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</si>
  <si>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</si>
  <si>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</si>
  <si>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</si>
  <si>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</si>
  <si>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</si>
  <si>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</si>
  <si>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</si>
  <si>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</si>
  <si>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</si>
  <si>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</si>
  <si>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</si>
  <si>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</si>
  <si>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</si>
  <si>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</si>
  <si>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</si>
  <si>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</si>
  <si>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</si>
  <si>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</si>
  <si>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</si>
  <si>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</si>
  <si>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</si>
  <si>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</si>
  <si>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</si>
  <si>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</si>
  <si>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</si>
  <si>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</si>
  <si>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</si>
  <si>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</si>
  <si>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</si>
  <si>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</si>
  <si>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</si>
  <si>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</si>
  <si>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</si>
  <si>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</si>
  <si>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</si>
  <si>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</si>
  <si>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</si>
  <si>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</si>
  <si>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</si>
  <si>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</si>
  <si>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</si>
  <si>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</si>
  <si>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</si>
  <si>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</si>
  <si>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</si>
  <si>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</si>
  <si>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</si>
  <si>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</si>
  <si>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</si>
  <si>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</si>
  <si>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</si>
  <si>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</si>
  <si>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</si>
  <si>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</si>
  <si>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</si>
  <si>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</si>
  <si>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</si>
  <si>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</si>
  <si>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</si>
  <si>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</si>
  <si>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</si>
  <si>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</si>
  <si>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</si>
  <si>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</si>
  <si>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</si>
  <si>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</si>
  <si>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</si>
  <si>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</si>
  <si>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</si>
  <si>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</si>
  <si>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</si>
  <si>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</si>
  <si>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</si>
  <si>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</si>
  <si>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</si>
  <si>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</si>
  <si>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</si>
  <si>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</si>
  <si>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</si>
  <si>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</si>
  <si>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</si>
  <si>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</si>
  <si>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</si>
  <si>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</si>
  <si>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</si>
  <si>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</si>
  <si>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</si>
  <si>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</si>
  <si>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</si>
  <si>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</si>
  <si>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</si>
  <si>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</si>
  <si>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</si>
  <si>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</si>
  <si>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</si>
  <si>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</si>
  <si>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</si>
  <si>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</si>
  <si>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</si>
  <si>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</si>
  <si>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</si>
  <si>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</si>
  <si>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</si>
  <si>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</si>
  <si>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</si>
  <si>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</si>
  <si>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</si>
  <si>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</si>
  <si>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</si>
  <si>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</si>
  <si>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</si>
  <si>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</si>
  <si>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</si>
  <si>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</si>
  <si>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</si>
  <si>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</si>
  <si>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</si>
  <si>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</si>
  <si>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</si>
  <si>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</si>
  <si>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</si>
  <si>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</si>
  <si>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</si>
  <si>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</si>
  <si>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</si>
  <si>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</si>
  <si>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</si>
  <si>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</si>
  <si>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</si>
  <si>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</si>
  <si>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</si>
  <si>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</si>
  <si>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</si>
  <si>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</si>
  <si>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</si>
  <si>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</si>
  <si>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</si>
  <si>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</si>
  <si>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</si>
  <si>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</si>
  <si>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</si>
  <si>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</si>
  <si>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</si>
  <si>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</si>
  <si>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</si>
  <si>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</si>
  <si>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</si>
  <si>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</si>
  <si>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</si>
  <si>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</si>
  <si>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</si>
  <si>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</si>
  <si>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</si>
  <si>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</si>
  <si>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</si>
  <si>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</si>
  <si>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</si>
  <si>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</si>
  <si>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</si>
  <si>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</si>
  <si>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</si>
  <si>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</si>
  <si>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</si>
  <si>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</si>
  <si>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</si>
  <si>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</si>
  <si>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</si>
  <si>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</si>
  <si>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</si>
  <si>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</si>
  <si>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</si>
  <si>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</si>
  <si>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</si>
  <si>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</si>
  <si>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</si>
  <si>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</si>
  <si>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</si>
  <si>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</si>
  <si>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</si>
  <si>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</si>
  <si>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</si>
  <si>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</si>
  <si>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</si>
  <si>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</si>
  <si>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</si>
  <si>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</si>
  <si>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</si>
  <si>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</si>
  <si>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</si>
  <si>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</si>
  <si>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</si>
  <si>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</si>
  <si>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</si>
  <si>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</si>
  <si>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</si>
  <si>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</si>
  <si>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</si>
  <si>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</si>
  <si>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</si>
  <si>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</si>
  <si>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</si>
  <si>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</si>
  <si>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</si>
  <si>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</si>
  <si>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</si>
  <si>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</si>
  <si>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</si>
  <si>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</si>
  <si>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</si>
  <si>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</si>
  <si>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</si>
  <si>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</si>
  <si>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</si>
  <si>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</si>
  <si>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</si>
  <si>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</si>
  <si>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</si>
  <si>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</si>
  <si>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</si>
  <si>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</si>
  <si>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</si>
  <si>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</si>
  <si>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</si>
  <si>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</si>
  <si>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</si>
  <si>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</si>
  <si>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</si>
  <si>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</si>
  <si>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</si>
  <si>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</si>
  <si>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</si>
  <si>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</si>
  <si>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</si>
  <si>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</si>
  <si>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</si>
  <si>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</si>
  <si>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</si>
  <si>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</si>
  <si>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</si>
  <si>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</si>
  <si>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</si>
  <si>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</si>
  <si>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</si>
  <si>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</si>
  <si>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</si>
  <si>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</si>
  <si>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</si>
  <si>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</si>
  <si>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</si>
  <si>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</si>
  <si>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</si>
  <si>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</si>
  <si>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</si>
  <si>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</si>
  <si>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</si>
  <si>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</si>
  <si>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</si>
  <si>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</si>
  <si>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</si>
  <si>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</si>
  <si>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</si>
  <si>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</si>
  <si>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</si>
  <si>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</si>
  <si>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</si>
  <si>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</si>
  <si>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</si>
  <si>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</si>
  <si>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</si>
  <si>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</si>
  <si>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</si>
  <si>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</si>
  <si>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</si>
  <si>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</si>
  <si>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</si>
  <si>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</si>
  <si>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SE3</t>
  </si>
  <si>
    <t>1,0</t>
  </si>
  <si>
    <t>DK 0</t>
  </si>
  <si>
    <t>1</t>
  </si>
  <si>
    <t>FB3</t>
  </si>
  <si>
    <t>Tim</t>
  </si>
  <si>
    <t>FB4</t>
  </si>
  <si>
    <t>Fb12</t>
  </si>
  <si>
    <t>FB111</t>
  </si>
  <si>
    <t>John</t>
  </si>
  <si>
    <t>Jim</t>
  </si>
  <si>
    <t>Justus</t>
  </si>
  <si>
    <t>Jana</t>
  </si>
  <si>
    <t>02.03.2024</t>
  </si>
  <si>
    <t>01.02.2023</t>
  </si>
  <si>
    <t>02.03.2025</t>
  </si>
  <si>
    <t>02.03.2026</t>
  </si>
  <si>
    <t>02.03.2027</t>
  </si>
  <si>
    <t>02.03.2028</t>
  </si>
  <si>
    <t>02.03.2023</t>
  </si>
  <si>
    <t>19.11.2023</t>
  </si>
  <si>
    <t>02.02.2023</t>
  </si>
  <si>
    <t>FB192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</si>
</sst>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4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14" fontId="0" fillId="0" borderId="0" xfId="0" applyNumberFormat="1"/>
    <xf numFmtId="49" fontId="3" fillId="5" borderId="0" xfId="0" applyNumberFormat="1" applyFont="1" applyFill="1" applyAlignment="1" applyProtection="1">
      <alignment horizontal="center" vertical="center"/>
      <protection locked="0"/>
    </xf>
    <xf numFmtId="0" fontId="0" fillId="7" borderId="0" xfId="0" applyFill="1" applyAlignment="1">
      <alignment horizontal="center"/>
    </xf>
    <xf numFmtId="0" fontId="0" fillId="0" borderId="0" xfId="0" applyNumberFormat="1"/>
  </cellXfs>
  <cellStyles count="1">
    <cellStyle name="Standard" xfId="0" builtinId="0"/>
  </cellStyles>
  <dxfs count="1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3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B8B1777-FDBB-4BB8-BB02-28F63353408D}" autoFormatId="16" applyNumberFormats="0" applyBorderFormats="0" applyFontFormats="0" applyPatternFormats="0" applyAlignmentFormats="0" applyWidthHeightFormats="0">
  <queryTableRefresh nextId="122">
    <queryTableFields count="121">
      <queryTableField id="1" name="PROBE.ID" tableColumnId="1"/>
      <queryTableField id="2" name="PROBE.TYPE" tableColumnId="2"/>
      <queryTableField id="3" name="PROBE.NUMMER" tableColumnId="3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38" name="SAMPLE.LP.ID" tableColumnId="38"/>
      <queryTableField id="39" name="SAMPLE.TYPE" tableColumnId="39"/>
      <queryTableField id="40" name="SAMPLE.NUMMER" tableColumnId="40"/>
      <queryTableField id="41" name="SAMPLE.AUFSCHLUSS" tableColumnId="41"/>
      <queryTableField id="42" name="SAMPLE.ART" tableColumnId="42"/>
      <queryTableField id="43" name="SAMPLE.KOERNUNG" tableColumnId="43"/>
      <queryTableField id="44" name="SAMPLE.BODENKLASSE" tableColumnId="44"/>
      <queryTableField id="45" name="SAMPLE.DICKE" tableColumnId="45"/>
      <queryTableField id="46" name="SAMPLE.TIEFE_START" tableColumnId="46"/>
      <queryTableField id="47" name="SAMPLE.TIEFE_ENDE" tableColumnId="47"/>
      <queryTableField id="48" name="SAMPLE.PECH" tableColumnId="48"/>
      <queryTableField id="49" name="SAMPLE.RUNDUNGSGRAD_GESTUFTHEIT" tableColumnId="49"/>
      <queryTableField id="50" name="SAMPLE.FARBE" tableColumnId="50"/>
      <queryTableField id="51" name="SAMPLE.BODENART" tableColumnId="51"/>
      <queryTableField id="52" name="SAMPLE.KONSISTENZ" tableColumnId="52"/>
      <queryTableField id="53" name="SAMPLE.FEUCHTIGKEIT" tableColumnId="53"/>
      <queryTableField id="54" name="SAMPLE.WASSERGEHALT" tableColumnId="54"/>
      <queryTableField id="55" name="SAMPLE.WASSERPROCTOR" tableColumnId="55"/>
      <queryTableField id="56" name="SAMPLE.NOTIZ" tableColumnId="56"/>
      <queryTableField id="57" name="SAMPLE.BEHAELTNIS" tableColumnId="57"/>
      <queryTableField id="58" name="SAMPLE.ABFALLART" tableColumnId="58"/>
      <queryTableField id="59" name="SAMPLE.GERUCH" tableColumnId="59"/>
      <queryTableField id="60" name="SAMPLE.KORNGROESSENVERTEILUNG" tableColumnId="60"/>
      <queryTableField id="61" name="SAMPLE.DRUCKFESTIGKEIT" tableColumnId="61"/>
      <queryTableField id="62" name="SAMPLE.FROSTEMPFINDLICHKEITSKLASSE" tableColumnId="62"/>
      <queryTableField id="63" name="SAMPLE.VERDICHTUNGSFAEHIGKEIT" tableColumnId="63"/>
      <queryTableField id="64" name="SAMPLE.HOMOGENBEREICH" tableColumnId="64"/>
      <queryTableField id="65" name="PARAMETER.LP.ID" tableColumnId="65"/>
      <queryTableField id="66" name="PARAMETER.LP.NUMMER" tableColumnId="66"/>
      <queryTableField id="67" name="PARAMETER.LP.WERT_1" tableColumnId="67"/>
      <queryTableField id="68" name="PARAMETER.LP.WERT_2" tableColumnId="68"/>
      <queryTableField id="69" name="PARAMETER.LP.WERT_3" tableColumnId="69"/>
      <queryTableField id="70" name="PARAMETER.LP.MITTELWERT" tableColumnId="70"/>
      <queryTableField id="71" name="PARAMETER.LP.EV" tableColumnId="71"/>
      <queryTableField id="72" name="PARAMETER.LP.EV85" tableColumnId="72"/>
      <queryTableField id="73" name="PARAMETER.LP.EV2" tableColumnId="73"/>
      <queryTableField id="74" name="PARAMETER.LP.EV2_SOLL" tableColumnId="74"/>
      <queryTableField id="75" name="PARAMETER.RUK.ID" tableColumnId="75"/>
      <queryTableField id="76" name="PARAMETER.RUK.NUMMER" tableColumnId="76"/>
      <queryTableField id="77" name="PARAMETER.RUK.PROBENART" tableColumnId="77"/>
      <queryTableField id="78" name="PARAMETER.RUK.WERT" tableColumnId="78"/>
      <queryTableField id="79" name="PARAMETER.CHEMISTRY.ID" tableColumnId="79"/>
      <queryTableField id="80" name="PARAMETER.CHEMISTRY.MUFV" tableColumnId="80"/>
      <queryTableField id="81" name="PARAMETER.CHEMISTRY.MUFV_PARAMETER" tableColumnId="81"/>
      <queryTableField id="82" name="PARAMETER.CHEMISTRY.ASBEST" tableColumnId="82"/>
      <queryTableField id="83" name="PARAMETER.CHEMISTRY.KMF" tableColumnId="83"/>
      <queryTableField id="84" name="PARAMETER.CHEMISTRY.PAK" tableColumnId="84"/>
      <queryTableField id="85" name="PARAMETER.CHEMISTRY.PCB" tableColumnId="85"/>
      <queryTableField id="86" name="PARAMETER.CHEMISTRY.BTEX" tableColumnId="86"/>
      <queryTableField id="87" name="PARAMETER.CHEMISTRY.EOX" tableColumnId="87"/>
      <queryTableField id="88" name="PARAMETER.CHEMISTRY.PHENOLE" tableColumnId="88"/>
      <queryTableField id="89" name="PARAMETER.CHEMISTRY.ICP_SCREENING" tableColumnId="89"/>
      <queryTableField id="90" name="PARAMETER.CHEMISTRY.MKW_C10_C22" tableColumnId="90"/>
      <queryTableField id="91" name="PARAMETER.CHEMISTRY.MKW_C10_C40" tableColumnId="91"/>
      <queryTableField id="92" name="PARAMETER.CHEMISTRY.SULFAT" tableColumnId="92"/>
      <queryTableField id="93" name="PARAMETER.CHEMISTRY.ALTHOLZ_VERORDNUNG" tableColumnId="93"/>
      <queryTableField id="94" name="PARAMETER.CHEMISTRY.FCKW" tableColumnId="94"/>
      <queryTableField id="95" name="PARAMETER.CHEMISTRY.HBCD" tableColumnId="95"/>
      <queryTableField id="96" name="PARAMETER.CHEMISTRY.LAGA_BO" tableColumnId="96"/>
      <queryTableField id="97" name="PARAMETER.CHEMISTRY.LAGA_RC" tableColumnId="97"/>
      <queryTableField id="98" name="PARAMETER.CHEMISTRY.LAGA_RC_ORIENTIERUNGSWERT" tableColumnId="98"/>
      <queryTableField id="99" name="PARAMETER.CHEMISTRY.TL_GESTEIN" tableColumnId="99"/>
      <queryTableField id="100" name="PARAMETER.CHEMISTRY.DEPV" tableColumnId="100"/>
      <queryTableField id="101" name="PARAMETER.CHEMISTRY.ENTSCHEIDUNGSHILFE" tableColumnId="101"/>
      <queryTableField id="102" name="PARAMETER.CHEMISTRY.REKU" tableColumnId="102"/>
      <queryTableField id="103" name="PARAMETER.CHEMISTRY.RUVA" tableColumnId="103"/>
      <queryTableField id="104" name="PARAMETER.CHEMISTRY.ABFALLSCHLUESSEL" tableColumnId="104"/>
      <queryTableField id="105" name="PARAMETER.CHEMISTRY.LFS" tableColumnId="105"/>
      <queryTableField id="106" name="SAMPLE.VOLUMEN" tableColumnId="106"/>
      <queryTableField id="107" name="SAMPLE.PROBEN" tableColumnId="107"/>
      <queryTableField id="108" name="PROBE.BAUTEIL" tableColumnId="108"/>
      <queryTableField id="109" name="PROBE.PROBENCHARAKTER" tableColumnId="109"/>
      <queryTableField id="110" name="PROBE.GERUCH" tableColumnId="110"/>
      <queryTableField id="111" name="PROBE.PROBENNUMMER" tableColumnId="111"/>
      <queryTableField id="112" name="PROBE.GEBAEUDE" tableColumnId="112"/>
      <queryTableField id="113" name="PROBE.ETAGE" tableColumnId="113"/>
      <queryTableField id="114" name="PROBE.RAUM" tableColumnId="114"/>
      <queryTableField id="115" name="PROBE.ENTNAHME" tableColumnId="115"/>
      <queryTableField id="116" name="SAMPLE.MATERIAL" tableColumnId="116"/>
      <queryTableField id="117" name="SAMPLE.ENTNAHME" tableColumnId="117"/>
      <queryTableField id="118" name="SAMPLE.MATERIAL_VERGLEICH" tableColumnId="118"/>
      <queryTableField id="119" name="SAMPLE.SCHADSTOFFVERDACHT" tableColumnId="119"/>
      <queryTableField id="120" name="SAMPLE.ABFALLSCHLUESSEL_MATERIAL" tableColumnId="120"/>
      <queryTableField id="121" name="SAMPLE.ABFALLSCHLUESSEL_GEMISCH" tableColumnId="1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62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59"/>
    <tableColumn id="26" xr3:uid="{FC97436C-64A0-41C8-B4BE-9C2242984A2A}" uniqueName="26" name="SAMPLE.ABFALLSCHLUESSEL_GEMISCH" queryTableFieldId="26" dataDxfId="158"/>
    <tableColumn id="27" xr3:uid="{FEC52FA2-705E-42CB-80EC-4928D5325B71}" uniqueName="27" name="PARAMETER.CHEMISTRY.ID" queryTableFieldId="27" dataDxfId="157"/>
    <tableColumn id="28" xr3:uid="{27A4E004-8EAD-421D-9AA3-CF721B6D9A83}" uniqueName="28" name="PARAMETER.CHEMISTRY.MUFV" queryTableFieldId="28" dataDxfId="156"/>
    <tableColumn id="29" xr3:uid="{93606AFB-108E-4FE1-895A-71BB6F3DF64F}" uniqueName="29" name="PARAMETER.CHEMISTRY.MUFV_PARAMETER" queryTableFieldId="29" dataDxfId="155"/>
    <tableColumn id="30" xr3:uid="{F78B4E58-D201-4664-9FA5-DFB52507CB65}" uniqueName="30" name="PARAMETER.CHEMISTRY.ASBEST" queryTableFieldId="30" dataDxfId="154"/>
    <tableColumn id="31" xr3:uid="{14D629DF-C709-4790-82B1-CF18C3C6D43E}" uniqueName="31" name="PARAMETER.CHEMISTRY.KMF" queryTableFieldId="31" dataDxfId="153"/>
    <tableColumn id="32" xr3:uid="{0F0061C7-0951-41B7-87CF-A6950CCB314E}" uniqueName="32" name="PARAMETER.CHEMISTRY.PAK" queryTableFieldId="32" dataDxfId="152"/>
    <tableColumn id="33" xr3:uid="{2F939509-A19C-4906-8FC2-BCF88B19BE05}" uniqueName="33" name="PARAMETER.CHEMISTRY.PCB" queryTableFieldId="33" dataDxfId="151"/>
    <tableColumn id="34" xr3:uid="{03BF367E-3FCF-4ECC-A100-B8012E65F100}" uniqueName="34" name="PARAMETER.CHEMISTRY.BTEX" queryTableFieldId="34" dataDxfId="150"/>
    <tableColumn id="35" xr3:uid="{BA3BECE2-FE5C-47CC-970C-F106E733A380}" uniqueName="35" name="PARAMETER.CHEMISTRY.EOX" queryTableFieldId="35" dataDxfId="149"/>
    <tableColumn id="36" xr3:uid="{629BC31F-3BD7-41C8-AEAB-17B0A80F2C92}" uniqueName="36" name="PARAMETER.CHEMISTRY.PHENOLE" queryTableFieldId="36" dataDxfId="148"/>
    <tableColumn id="37" xr3:uid="{68813B17-BB65-4926-BE6A-4716BE7DB98C}" uniqueName="37" name="PARAMETER.CHEMISTRY.ICP_SCREENING" queryTableFieldId="37" dataDxfId="147"/>
    <tableColumn id="38" xr3:uid="{EE16B3EF-DECD-42F8-890C-2C830D731663}" uniqueName="38" name="PARAMETER.CHEMISTRY.MKW_C10_C22" queryTableFieldId="38" dataDxfId="146"/>
    <tableColumn id="39" xr3:uid="{5ABF636F-5B8F-4034-8610-2DCB1D4E5DAB}" uniqueName="39" name="PARAMETER.CHEMISTRY.MKW_C10_C40" queryTableFieldId="39" dataDxfId="145"/>
    <tableColumn id="40" xr3:uid="{8B7F21F1-6D87-4C4E-843F-DEF943284D33}" uniqueName="40" name="PARAMETER.CHEMISTRY.SULFAT" queryTableFieldId="40" dataDxfId="144"/>
    <tableColumn id="41" xr3:uid="{4998777B-9E4E-4BC9-B317-43F694B0F669}" uniqueName="41" name="PARAMETER.CHEMISTRY.ALTHOLZ_VERORDNUNG" queryTableFieldId="41" dataDxfId="143"/>
    <tableColumn id="42" xr3:uid="{2FF936F5-EAC8-48B4-9AA7-737B3728B063}" uniqueName="42" name="PARAMETER.CHEMISTRY.FCKW" queryTableFieldId="42" dataDxfId="142"/>
    <tableColumn id="43" xr3:uid="{FDFBEC0C-E165-43F8-9120-B73BD468C297}" uniqueName="43" name="PARAMETER.CHEMISTRY.HBCD" queryTableFieldId="43" dataDxfId="141"/>
    <tableColumn id="44" xr3:uid="{43420AA0-A5F4-4F3B-8341-DC45675A9502}" uniqueName="44" name="PARAMETER.CHEMISTRY.LAGA_BO" queryTableFieldId="44" dataDxfId="140"/>
    <tableColumn id="45" xr3:uid="{58F1740F-4C9F-431F-9219-439DD02CECC4}" uniqueName="45" name="PARAMETER.CHEMISTRY.LAGA_RC" queryTableFieldId="45" dataDxfId="139"/>
    <tableColumn id="46" xr3:uid="{60A31DD1-B933-49AA-B154-8C44FA3D3F2F}" uniqueName="46" name="PARAMETER.CHEMISTRY.LAGA_RC_ORIENTIERUNGSWERT" queryTableFieldId="46" dataDxfId="138"/>
    <tableColumn id="47" xr3:uid="{5D44EE28-B9E3-48A0-A2BA-B4E23CE1C2F1}" uniqueName="47" name="PARAMETER.CHEMISTRY.TL_GESTEIN" queryTableFieldId="47" dataDxfId="137"/>
    <tableColumn id="48" xr3:uid="{1639B7A6-5F78-42FC-A430-E662E0FF3BEE}" uniqueName="48" name="PARAMETER.CHEMISTRY.DEPV" queryTableFieldId="48" dataDxfId="136"/>
    <tableColumn id="49" xr3:uid="{6B10F78D-E8F9-41E6-B732-58683EAA26B4}" uniqueName="49" name="PARAMETER.CHEMISTRY.ENTSCHEIDUNGSHILFE" queryTableFieldId="49" dataDxfId="135"/>
    <tableColumn id="50" xr3:uid="{8E2DB51E-5F76-470A-A87D-FB1FE1BEEC83}" uniqueName="50" name="PARAMETER.CHEMISTRY.REKU" queryTableFieldId="50" dataDxfId="134"/>
    <tableColumn id="51" xr3:uid="{C4DE7668-10FF-47BD-8618-85556FE90926}" uniqueName="51" name="PARAMETER.CHEMISTRY.RUVA" queryTableFieldId="51" dataDxfId="133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3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32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31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31"/>
    <tableColumn id="27" xr3:uid="{902891BF-4C44-4429-AE57-3AAD8935F399}" uniqueName="27" name="PARAMETER.CHEMISTRY.MUFV" queryTableFieldId="27" dataDxfId="130"/>
    <tableColumn id="28" xr3:uid="{0163579B-8675-4915-B82E-5DDFFC21F068}" uniqueName="28" name="PARAMETER.CHEMISTRY.MUFV_PARAMETER" queryTableFieldId="28" dataDxfId="129"/>
    <tableColumn id="29" xr3:uid="{3E687AF0-BFDA-4066-8D85-AC750FB27FDA}" uniqueName="29" name="PARAMETER.CHEMISTRY.ASBEST" queryTableFieldId="29" dataDxfId="128"/>
    <tableColumn id="30" xr3:uid="{71C9984E-D894-44FC-9976-9D93D2D21604}" uniqueName="30" name="PARAMETER.CHEMISTRY.KMF" queryTableFieldId="30" dataDxfId="127"/>
    <tableColumn id="31" xr3:uid="{8B4C8DA6-6572-4699-A05F-09F5E4C19362}" uniqueName="31" name="PARAMETER.CHEMISTRY.PAK" queryTableFieldId="31" dataDxfId="126"/>
    <tableColumn id="32" xr3:uid="{B9B85D41-AFCE-4533-B5E6-24125385408D}" uniqueName="32" name="PARAMETER.CHEMISTRY.PCB" queryTableFieldId="32" dataDxfId="125"/>
    <tableColumn id="33" xr3:uid="{F4507179-85F8-426A-A8E6-400631C082EF}" uniqueName="33" name="PARAMETER.CHEMISTRY.BTEX" queryTableFieldId="33" dataDxfId="124"/>
    <tableColumn id="34" xr3:uid="{F3FA9695-3EFB-421B-9F14-E940B7BAEE97}" uniqueName="34" name="PARAMETER.CHEMISTRY.EOX" queryTableFieldId="34" dataDxfId="123"/>
    <tableColumn id="35" xr3:uid="{CA6C8245-C111-46C2-9973-26638FB0340B}" uniqueName="35" name="PARAMETER.CHEMISTRY.PHENOLE" queryTableFieldId="35" dataDxfId="122"/>
    <tableColumn id="36" xr3:uid="{55CE9F12-B661-4590-8250-B3BFBF790071}" uniqueName="36" name="PARAMETER.CHEMISTRY.ICP_SCREENING" queryTableFieldId="36" dataDxfId="121"/>
    <tableColumn id="37" xr3:uid="{D164A852-28EB-4196-B9BD-1F98D08D34C5}" uniqueName="37" name="PARAMETER.CHEMISTRY.MKW_C10_C22" queryTableFieldId="37" dataDxfId="120"/>
    <tableColumn id="38" xr3:uid="{297CC18C-733C-440E-806A-C6A285362C3F}" uniqueName="38" name="PARAMETER.CHEMISTRY.MKW_C10_C40" queryTableFieldId="38" dataDxfId="119"/>
    <tableColumn id="39" xr3:uid="{080E079B-0396-48D3-8E4D-F432AA3CE2B6}" uniqueName="39" name="PARAMETER.CHEMISTRY.SULFAT" queryTableFieldId="39" dataDxfId="118"/>
    <tableColumn id="40" xr3:uid="{0F406AE1-339B-449F-B1B8-F8BDD57E1A1E}" uniqueName="40" name="PARAMETER.CHEMISTRY.ALTHOLZ_VERORDNUNG" queryTableFieldId="40" dataDxfId="117"/>
    <tableColumn id="41" xr3:uid="{4F984E01-9D95-4FF1-A5E7-7AFCE5900571}" uniqueName="41" name="PARAMETER.CHEMISTRY.FCKW" queryTableFieldId="41" dataDxfId="116"/>
    <tableColumn id="42" xr3:uid="{CD504F65-4317-4929-A9B0-3E95534C4D14}" uniqueName="42" name="PARAMETER.CHEMISTRY.HBCD" queryTableFieldId="42" dataDxfId="115"/>
    <tableColumn id="43" xr3:uid="{EBC9A661-FC40-4D4E-9852-FCCDDB64CEFE}" uniqueName="43" name="PARAMETER.CHEMISTRY.LAGA_BO" queryTableFieldId="43" dataDxfId="114"/>
    <tableColumn id="44" xr3:uid="{87F8EBEA-4032-4611-B364-574506B13F1D}" uniqueName="44" name="PARAMETER.CHEMISTRY.LAGA_RC" queryTableFieldId="44" dataDxfId="113"/>
    <tableColumn id="45" xr3:uid="{D1FA07D6-1F78-4552-AAC1-A43F8A241C15}" uniqueName="45" name="PARAMETER.CHEMISTRY.LAGA_RC_ORIENTIERUNGSWERT" queryTableFieldId="45" dataDxfId="112"/>
    <tableColumn id="46" xr3:uid="{EE9E9F84-F22A-4D36-9E69-73379F14B8AC}" uniqueName="46" name="PARAMETER.CHEMISTRY.TL_GESTEIN" queryTableFieldId="46" dataDxfId="111"/>
    <tableColumn id="47" xr3:uid="{61C447EC-A975-407A-AC35-08B9EBA86685}" uniqueName="47" name="PARAMETER.CHEMISTRY.DEPV" queryTableFieldId="47" dataDxfId="110"/>
    <tableColumn id="48" xr3:uid="{C658E730-A7C7-4CE8-ABF0-9884889D6E2C}" uniqueName="48" name="PARAMETER.CHEMISTRY.ENTSCHEIDUNGSHILFE" queryTableFieldId="48" dataDxfId="109"/>
    <tableColumn id="49" xr3:uid="{0E2F03C5-E7E3-4E58-95F2-1B5CCF153376}" uniqueName="49" name="PARAMETER.CHEMISTRY.REKU" queryTableFieldId="49" dataDxfId="108"/>
    <tableColumn id="50" xr3:uid="{D490B33E-7ED1-4745-AFE3-BC2A63A7AA99}" uniqueName="50" name="PARAMETER.CHEMISTRY.RUVA" queryTableFieldId="50" dataDxfId="107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106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9" tableType="queryTable" totalsRowShown="0">
  <autoFilter ref="A1:DA9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3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2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28"/>
    <tableColumn id="71" xr3:uid="{B2B0DC0A-4F06-4037-BF53-4869770EDC23}" uniqueName="71" name="PARAMETER.LP.EV2" queryTableFieldId="71" dataDxfId="2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26"/>
    <tableColumn id="77" xr3:uid="{BE683E9B-8FDA-40E0-9D5F-6DE1618EE920}" uniqueName="77" name="PARAMETER.CHEMISTRY.ID" queryTableFieldId="77" dataDxfId="25"/>
    <tableColumn id="78" xr3:uid="{49EFDBAC-19CC-4661-B008-77A9DBA07868}" uniqueName="78" name="PARAMETER.CHEMISTRY.MUFV" queryTableFieldId="78" dataDxfId="24"/>
    <tableColumn id="79" xr3:uid="{0715B054-3D90-4ECF-B353-252F004A4F5B}" uniqueName="79" name="PARAMETER.CHEMISTRY.MUFV_PARAMETER" queryTableFieldId="79" dataDxfId="23"/>
    <tableColumn id="80" xr3:uid="{36C55A8A-64FA-4C3C-813E-1FD0EBF52AA9}" uniqueName="80" name="PARAMETER.CHEMISTRY.ASBEST" queryTableFieldId="80" dataDxfId="22"/>
    <tableColumn id="81" xr3:uid="{62A408EB-C7AA-45EB-8EF4-A2E1ECC4C3CC}" uniqueName="81" name="PARAMETER.CHEMISTRY.KMF" queryTableFieldId="81" dataDxfId="21"/>
    <tableColumn id="82" xr3:uid="{62ED9188-F645-41A3-88F0-129B28CEF72F}" uniqueName="82" name="PARAMETER.CHEMISTRY.PAK" queryTableFieldId="82" dataDxfId="20"/>
    <tableColumn id="83" xr3:uid="{19B27EF8-A549-4C1F-9B42-9D430FCAFDFD}" uniqueName="83" name="PARAMETER.CHEMISTRY.PCB" queryTableFieldId="83" dataDxfId="19"/>
    <tableColumn id="84" xr3:uid="{408F9534-9EE6-4547-B5B1-2FBF85B7945F}" uniqueName="84" name="PARAMETER.CHEMISTRY.BTEX" queryTableFieldId="84" dataDxfId="18"/>
    <tableColumn id="85" xr3:uid="{F57E53A5-8FAA-486C-B91D-D459D982FF1A}" uniqueName="85" name="PARAMETER.CHEMISTRY.EOX" queryTableFieldId="85" dataDxfId="17"/>
    <tableColumn id="86" xr3:uid="{D5193380-2EA0-4671-B593-292D080CD9AF}" uniqueName="86" name="PARAMETER.CHEMISTRY.PHENOLE" queryTableFieldId="86" dataDxfId="16"/>
    <tableColumn id="87" xr3:uid="{70FBACBD-54B9-4FF4-98E6-304083C2881B}" uniqueName="87" name="PARAMETER.CHEMISTRY.ICP_SCREENING" queryTableFieldId="87" dataDxfId="15"/>
    <tableColumn id="88" xr3:uid="{8DC2F49B-FB91-43C4-B144-9D71FD8DE9DA}" uniqueName="88" name="PARAMETER.CHEMISTRY.MKW_C10_C22" queryTableFieldId="88" dataDxfId="14"/>
    <tableColumn id="89" xr3:uid="{8C619B32-F2ED-4154-A971-E54C0533BE46}" uniqueName="89" name="PARAMETER.CHEMISTRY.MKW_C10_C40" queryTableFieldId="89" dataDxfId="13"/>
    <tableColumn id="90" xr3:uid="{CBEF3DD2-C9EF-49A2-84C8-2AED4407ED4B}" uniqueName="90" name="PARAMETER.CHEMISTRY.SULFAT" queryTableFieldId="90" dataDxfId="12"/>
    <tableColumn id="91" xr3:uid="{FEA55896-E766-49D4-90F2-914EEDCB0AB2}" uniqueName="91" name="PARAMETER.CHEMISTRY.ALTHOLZ_VERORDNUNG" queryTableFieldId="91" dataDxfId="11"/>
    <tableColumn id="92" xr3:uid="{E7F2BD8B-E27A-4B4F-8A49-93F8BD7D18A0}" uniqueName="92" name="PARAMETER.CHEMISTRY.FCKW" queryTableFieldId="92" dataDxfId="10"/>
    <tableColumn id="93" xr3:uid="{816AEC63-0DEE-4627-8FC7-0E38BBD3281A}" uniqueName="93" name="PARAMETER.CHEMISTRY.HBCD" queryTableFieldId="93" dataDxfId="9"/>
    <tableColumn id="94" xr3:uid="{5D8D0448-FD28-4E36-B3BC-27D314DF815B}" uniqueName="94" name="PARAMETER.CHEMISTRY.LAGA_BO" queryTableFieldId="94" dataDxfId="8"/>
    <tableColumn id="95" xr3:uid="{B9F3D638-C332-49F7-8927-86D91BAC52D8}" uniqueName="95" name="PARAMETER.CHEMISTRY.LAGA_RC" queryTableFieldId="95" dataDxfId="7"/>
    <tableColumn id="96" xr3:uid="{732D813B-F681-4A3D-9F90-E49CDE81F912}" uniqueName="96" name="PARAMETER.CHEMISTRY.LAGA_RC_ORIENTIERUNGSWERT" queryTableFieldId="96" dataDxfId="6"/>
    <tableColumn id="97" xr3:uid="{49B9CC8A-0EFC-4D0B-A20F-E8A8AE5A5B99}" uniqueName="97" name="PARAMETER.CHEMISTRY.TL_GESTEIN" queryTableFieldId="97" dataDxfId="5"/>
    <tableColumn id="98" xr3:uid="{16CD09D6-B40B-4446-A277-4972A7E14642}" uniqueName="98" name="PARAMETER.CHEMISTRY.DEPV" queryTableFieldId="98" dataDxfId="4"/>
    <tableColumn id="99" xr3:uid="{26DD249C-F520-4939-A0C4-C280C03D0BAE}" uniqueName="99" name="PARAMETER.CHEMISTRY.ENTSCHEIDUNGSHILFE" queryTableFieldId="99" dataDxfId="3"/>
    <tableColumn id="100" xr3:uid="{43436799-932D-409B-93DB-A33E627D925B}" uniqueName="100" name="PARAMETER.CHEMISTRY.REKU" queryTableFieldId="100" dataDxfId="2"/>
    <tableColumn id="101" xr3:uid="{4D536224-BE38-42C2-B331-302398CC0060}" uniqueName="101" name="PARAMETER.CHEMISTRY.RUVA" queryTableFieldId="101" dataDxfId="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0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A5" totalsRowShown="0">
  <autoFilter ref="A2:AA5" xr:uid="{5055F3DA-5118-49AB-94C1-988D940BAC5E}"/>
  <tableColumns count="27">
    <tableColumn id="1" xr3:uid="{CF3E7D7D-2184-43F7-AD26-A5C5DC2DBC0C}" name="ID" dataDxfId="105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104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103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102">
      <calculatedColumnFormula>"LP"&amp;ROW()-1</calculatedColumnFormula>
    </tableColumn>
    <tableColumn id="2" xr3:uid="{51F153C6-5FF1-44FD-B39F-464F5777D26F}" name="NUMMER" dataDxfId="101">
      <calculatedColumnFormula>ROW()-1</calculatedColumnFormula>
    </tableColumn>
    <tableColumn id="3" xr3:uid="{D635D0C6-EC46-4499-87D8-E68BA2217AC3}" name="WERT_1" dataDxfId="100"/>
    <tableColumn id="4" xr3:uid="{EB4DDFA1-C89E-49B6-A6D9-3E4EE912B328}" name="WERT_2" dataDxfId="99"/>
    <tableColumn id="5" xr3:uid="{675180B4-A186-4E41-9A3F-809597A2D137}" name="WERT_3" dataDxfId="98"/>
    <tableColumn id="6" xr3:uid="{1BCD8931-601C-4036-97BE-6890E0BB8E1A}" name="MITTELWERT" dataDxfId="97">
      <calculatedColumnFormula>IFERROR(AVERAGE(Lp.Table[[#This Row],[WERT_1]:[WERT_3]]),"")</calculatedColumnFormula>
    </tableColumn>
    <tableColumn id="7" xr3:uid="{E52EA34C-9206-4F8E-ADA8-4882EB8536D2}" name="EV" dataDxfId="96">
      <calculatedColumnFormula>IFERROR(ROUND(22.5/Lp.Table[[#This Row],[MITTELWERT]],1),"")</calculatedColumnFormula>
    </tableColumn>
    <tableColumn id="8" xr3:uid="{F82604BB-DC28-42BD-A51D-F8A987DCA29B}" name="EV85" dataDxfId="95">
      <calculatedColumnFormula>IFERROR(ROUND(Lp.Table[[#This Row],[EV]]*0.85,0),"")</calculatedColumnFormula>
    </tableColumn>
    <tableColumn id="9" xr3:uid="{DAF46846-3846-48E2-BAD5-98185ED0BC6A}" name="EV2" dataDxfId="94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93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9" totalsRowShown="0" headerRowDxfId="92">
  <autoFilter ref="A2:AG9" xr:uid="{AB98E13D-EE76-407A-9E41-2FEB0148ED29}"/>
  <tableColumns count="33">
    <tableColumn id="1" xr3:uid="{694A277F-BFC2-43E2-BA7B-9942E6414962}" name="ID"/>
    <tableColumn id="3" xr3:uid="{902726AA-755D-453F-843E-F3D3F46C8599}" name="TYPE" dataDxfId="91">
      <calculatedColumnFormula>"EXPLORATION"</calculatedColumnFormula>
    </tableColumn>
    <tableColumn id="2" xr3:uid="{5E32C2F2-99B1-4F86-B125-5BC77663FE3F}" name="NUMMER"/>
    <tableColumn id="4" xr3:uid="{4963561D-ADA7-4207-B968-F5A9A09EF179}" name="DATUM" dataDxfId="90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89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88"/>
    <tableColumn id="15" xr3:uid="{005F580A-41C6-4E6E-B207-2405CF08B91D}" name="BELASTUNGSKLASSE_TAFEL" dataDxfId="87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86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8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84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83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82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81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63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80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79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78">
      <calculatedColumnFormula>"HAUFWERK"</calculatedColumnFormula>
    </tableColumn>
    <tableColumn id="6" xr3:uid="{1586FA36-B4DE-4684-9D6E-C35C26DEC2A1}" name="ART"/>
    <tableColumn id="20" xr3:uid="{E39EAB2A-0B3D-4A23-B43E-208E3AAE3017}" name="KOERNUNG" dataDxfId="77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76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75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74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73">
      <calculatedColumnFormula>"BUILDING"</calculatedColumnFormula>
    </tableColumn>
    <tableColumn id="2" xr3:uid="{3EEAA087-E8CD-44B3-8DF7-FA0EE5A08610}" name="NUMMER"/>
    <tableColumn id="3" xr3:uid="{A368117F-57A6-414D-A93E-3A6BD44DE902}" name="DATUM" dataDxfId="72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1" headerRowBorderDxfId="70" tableBorderDxfId="69">
  <autoFilter ref="A1:P3" xr:uid="{3730A37C-629E-4550-A01C-455CDD4A615A}"/>
  <tableColumns count="16">
    <tableColumn id="16" xr3:uid="{54D7B85E-0AC3-4C06-8F98-2D052592AE14}" name="ID" dataDxfId="68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67">
      <calculatedColumnFormula>"LAYER"</calculatedColumnFormula>
    </tableColumn>
    <tableColumn id="4" xr3:uid="{E42478A1-49FD-48AB-BAA7-1896B69635A5}" name="NUMMER"/>
    <tableColumn id="5" xr3:uid="{63C7892F-F854-491A-96AB-FE7C93927D92}" name="AUFSCHLUSS" dataDxfId="66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65">
      <calculatedColumnFormula>Gebaeude.Sample.Table[[#This Row],[TIEFE_ENDE]]-Gebaeude.Sample.Table[[#This Row],[DICKE]]</calculatedColumnFormula>
    </tableColumn>
    <tableColumn id="10" xr3:uid="{5CBF7A6E-AC07-4534-A77E-5433494D3ACF}" name="TIEFE_ENDE" dataDxfId="64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17C6AC-2A7A-4410-8609-A1E2504450E0}" name="Tabelle_ExterneDaten_1" displayName="Tabelle_ExterneDaten_1" ref="A1:DQ13" tableType="queryTable" totalsRowShown="0">
  <autoFilter ref="A1:DQ13" xr:uid="{D417C6AC-2A7A-4410-8609-A1E2504450E0}"/>
  <tableColumns count="121">
    <tableColumn id="1" xr3:uid="{CE54D54E-42E6-41B6-94AE-57D36AD70887}" uniqueName="1" name="PROBE.ID" queryTableFieldId="1"/>
    <tableColumn id="2" xr3:uid="{4E1055BD-BEFA-4164-8302-D4769809E975}" uniqueName="2" name="PROBE.TYPE" queryTableFieldId="2"/>
    <tableColumn id="3" xr3:uid="{A266E3BC-CAB1-4515-BFCA-5428BBC78006}" uniqueName="3" name="PROBE.NUMMER" queryTableFieldId="3"/>
    <tableColumn id="4" xr3:uid="{8438BF8B-E741-4B64-94D3-791A1D4171D0}" uniqueName="4" name="PROBE.DATUM" queryTableFieldId="4" dataDxfId="61"/>
    <tableColumn id="5" xr3:uid="{D182B842-4C89-4136-97A2-0C2E20CF9FA2}" uniqueName="5" name="PROBE.PRUEFER" queryTableFieldId="5"/>
    <tableColumn id="6" xr3:uid="{4935D961-0EE8-4A9A-9680-FD49CF2201F0}" uniqueName="6" name="PROBE.BEREICH" queryTableFieldId="6"/>
    <tableColumn id="7" xr3:uid="{254297C5-A7CD-4642-B26C-D73AD8189E18}" uniqueName="7" name="PROBE.ANSPRECHPARTNER" queryTableFieldId="7"/>
    <tableColumn id="8" xr3:uid="{F05094F3-A31A-4803-BFAB-6BFD99737DF5}" uniqueName="8" name="PROBE.KOORDINATEN" queryTableFieldId="8"/>
    <tableColumn id="9" xr3:uid="{AA6C79F4-F2DA-4EAD-92E8-35CC0B0BE29C}" uniqueName="9" name="PROBE.ORT" queryTableFieldId="9"/>
    <tableColumn id="10" xr3:uid="{96C50284-8554-458D-8FD8-C49CC1321C0B}" uniqueName="10" name="PROBE.AUFSCHLUSS_OB" queryTableFieldId="10"/>
    <tableColumn id="11" xr3:uid="{409E6841-7DAC-488E-903F-E59B970324B1}" uniqueName="11" name="PROBE.AUFSCHLUSS_TOB" queryTableFieldId="11"/>
    <tableColumn id="12" xr3:uid="{1A008870-0EDD-4F71-99E8-BF7C8E0BD2E6}" uniqueName="12" name="PROBE.AUFSCHLUSS_UG_OH_BA" queryTableFieldId="12"/>
    <tableColumn id="13" xr3:uid="{10A7A8D7-338F-42EE-AECF-9D3C6BD99D4F}" uniqueName="13" name="PROBE.OBERKANTE" queryTableFieldId="13"/>
    <tableColumn id="14" xr3:uid="{FED92F7D-AB24-4734-9210-ECED01E2A47F}" uniqueName="14" name="PROBE.BELASTUNGSKLASSE" queryTableFieldId="14"/>
    <tableColumn id="15" xr3:uid="{69E38E0C-C5DA-468E-9F8C-596A98F09C85}" uniqueName="15" name="PROBE.BELASTUNGSKLASSE_TAFEL" queryTableFieldId="15"/>
    <tableColumn id="16" xr3:uid="{E2740390-E67F-4E16-B011-0A01F0E18AEF}" uniqueName="16" name="PROBE.PECH_QUALITATIV" queryTableFieldId="16"/>
    <tableColumn id="17" xr3:uid="{5A8E3761-2C19-4B0B-B21A-05E5BD871821}" uniqueName="17" name="PROBE.PECH_HALBQUANTITATIV" queryTableFieldId="17"/>
    <tableColumn id="18" xr3:uid="{98CF77B4-D6B8-417D-984F-8E943B37368B}" uniqueName="18" name="PROBE.PECH_QUANTITATIV" queryTableFieldId="18"/>
    <tableColumn id="19" xr3:uid="{4F27E221-89C7-4C9F-A35E-E5669B458245}" uniqueName="19" name="PROBE.TRAG_PLANUM" queryTableFieldId="19"/>
    <tableColumn id="20" xr3:uid="{B409802C-3227-437C-9852-42815DB3B2CF}" uniqueName="20" name="PROBE.TRAG_GRABENSOHLE" queryTableFieldId="20"/>
    <tableColumn id="21" xr3:uid="{73556764-BA03-4E74-93E7-227E0ADDDA65}" uniqueName="21" name="PROBE.SOHLE_TIEFE" queryTableFieldId="21"/>
    <tableColumn id="22" xr3:uid="{E7475F8F-297B-4387-9BCE-E89539DCBDCA}" uniqueName="22" name="PROBE.VERBUND_UNTERLAGE" queryTableFieldId="22"/>
    <tableColumn id="23" xr3:uid="{5C53CB55-6E36-436E-BF57-E3800187A4CB}" uniqueName="23" name="PROBE.ZIELTIEFE" queryTableFieldId="23"/>
    <tableColumn id="24" xr3:uid="{7136F8AB-B246-443C-AADE-82CEFBE2E7DD}" uniqueName="24" name="PROBE.FOOTNOTE_1" queryTableFieldId="24"/>
    <tableColumn id="25" xr3:uid="{E1572B59-D579-4BF3-AF30-1429A4360CFE}" uniqueName="25" name="PROBE.FOOTNOTE_2" queryTableFieldId="25"/>
    <tableColumn id="26" xr3:uid="{852E3377-E0FB-46E4-ABFC-F78E3AF1BD91}" uniqueName="26" name="PROBE.FOOTNOTE_3" queryTableFieldId="26"/>
    <tableColumn id="27" xr3:uid="{84A75054-F21E-454C-884C-E27D911AECCA}" uniqueName="27" name="PROBE.FOOTNOTE_4" queryTableFieldId="27"/>
    <tableColumn id="28" xr3:uid="{A0C40C36-EB3B-4DCD-80A2-7F916D975D20}" uniqueName="28" name="PROBE.FOOTNOTE_5" queryTableFieldId="28"/>
    <tableColumn id="29" xr3:uid="{750B283B-5A6E-45E8-8638-DD8BCFB4F995}" uniqueName="29" name="PROBE.FOOTNOTE_6" queryTableFieldId="29"/>
    <tableColumn id="30" xr3:uid="{05DA54A8-DF35-457B-815C-4E2C85E05D07}" uniqueName="30" name="PROBE.FOOTNOTE_7" queryTableFieldId="30"/>
    <tableColumn id="31" xr3:uid="{70ACB43E-7ACC-4605-9B7D-3348E0C6C002}" uniqueName="31" name="PROBE.FOOTNOTE_8" queryTableFieldId="31"/>
    <tableColumn id="32" xr3:uid="{C830DEBE-C96E-48D7-8480-CD1C60816D8C}" uniqueName="32" name="PROBE.FOOTNOTE_9" queryTableFieldId="32"/>
    <tableColumn id="33" xr3:uid="{F39BDF0A-1586-4DD8-9294-690D8702AE1E}" uniqueName="33" name="PROBE.FOOTNOTE_10" queryTableFieldId="33"/>
    <tableColumn id="34" xr3:uid="{ABC44019-784B-4A24-AECE-49A97E0AC4BC}" uniqueName="34" name="SAMPLE.ID" queryTableFieldId="34"/>
    <tableColumn id="35" xr3:uid="{42AC8820-E145-4D5F-B722-904EC62C6F7B}" uniqueName="35" name="SAMPLE.PROBE.ID" queryTableFieldId="35"/>
    <tableColumn id="36" xr3:uid="{34AB4E8D-629D-4C1D-A6CB-6583C41AF35F}" uniqueName="36" name="SAMPLE.CHEMISTRY.ID" queryTableFieldId="36"/>
    <tableColumn id="37" xr3:uid="{855251D2-0C45-4341-9C26-938633FF21E8}" uniqueName="37" name="SAMPLE.RUK.ID" queryTableFieldId="37"/>
    <tableColumn id="38" xr3:uid="{FD4DB0BB-9E62-4E2D-B87C-F7ECF71DDAE1}" uniqueName="38" name="SAMPLE.LP.ID" queryTableFieldId="38"/>
    <tableColumn id="39" xr3:uid="{6E4B2C22-7C8B-4000-8080-4760180E030D}" uniqueName="39" name="SAMPLE.TYPE" queryTableFieldId="39"/>
    <tableColumn id="40" xr3:uid="{8F7AA0A0-7B90-4C92-9036-5244F40F8E0C}" uniqueName="40" name="SAMPLE.NUMMER" queryTableFieldId="40"/>
    <tableColumn id="41" xr3:uid="{AD623052-89FC-458B-AFFF-D7ADB62E9E30}" uniqueName="41" name="SAMPLE.AUFSCHLUSS" queryTableFieldId="41"/>
    <tableColumn id="42" xr3:uid="{FAD79A8B-C430-4189-AD48-191CC24F68EC}" uniqueName="42" name="SAMPLE.ART" queryTableFieldId="42"/>
    <tableColumn id="43" xr3:uid="{CFD5E22F-BF5A-4A2B-91F0-AC82E03AD8E4}" uniqueName="43" name="SAMPLE.KOERNUNG" queryTableFieldId="43"/>
    <tableColumn id="44" xr3:uid="{E5ABF770-63F7-48ED-9437-5F540711B47E}" uniqueName="44" name="SAMPLE.BODENKLASSE" queryTableFieldId="44"/>
    <tableColumn id="45" xr3:uid="{36C785A6-E61B-45C2-9794-0D89A16E88B9}" uniqueName="45" name="SAMPLE.DICKE" queryTableFieldId="45"/>
    <tableColumn id="46" xr3:uid="{68DD8B75-D831-4A83-93A4-D97BD61F1F24}" uniqueName="46" name="SAMPLE.TIEFE_START" queryTableFieldId="46"/>
    <tableColumn id="47" xr3:uid="{C4424094-28E9-49C5-9AA9-0282E03AAD98}" uniqueName="47" name="SAMPLE.TIEFE_ENDE" queryTableFieldId="47"/>
    <tableColumn id="48" xr3:uid="{07FC3725-A525-4F88-9C75-8FC6ED619638}" uniqueName="48" name="SAMPLE.PECH" queryTableFieldId="48"/>
    <tableColumn id="49" xr3:uid="{15F4DC47-39F0-422B-89EA-381356252714}" uniqueName="49" name="SAMPLE.RUNDUNGSGRAD_GESTUFTHEIT" queryTableFieldId="49"/>
    <tableColumn id="50" xr3:uid="{FC8A3C37-A9C4-49B8-8AAF-01E58740DC74}" uniqueName="50" name="SAMPLE.FARBE" queryTableFieldId="50"/>
    <tableColumn id="51" xr3:uid="{C4228034-1779-45BD-8A02-82F7ADAA15C2}" uniqueName="51" name="SAMPLE.BODENART" queryTableFieldId="51"/>
    <tableColumn id="52" xr3:uid="{197D595F-927A-4724-9771-379BD9BCF336}" uniqueName="52" name="SAMPLE.KONSISTENZ" queryTableFieldId="52"/>
    <tableColumn id="53" xr3:uid="{F1C81EF9-D966-4908-846B-E79D8F46440F}" uniqueName="53" name="SAMPLE.FEUCHTIGKEIT" queryTableFieldId="53"/>
    <tableColumn id="54" xr3:uid="{F82EF28F-724A-4EA2-B844-ADD3CE387DD1}" uniqueName="54" name="SAMPLE.WASSERGEHALT" queryTableFieldId="54"/>
    <tableColumn id="55" xr3:uid="{8B9CE710-0BEF-40A4-82D9-4A2B27B2D6A5}" uniqueName="55" name="SAMPLE.WASSERPROCTOR" queryTableFieldId="55"/>
    <tableColumn id="56" xr3:uid="{A7D80E43-BF95-4058-8BC1-90ACBD7FFC4F}" uniqueName="56" name="SAMPLE.NOTIZ" queryTableFieldId="56"/>
    <tableColumn id="57" xr3:uid="{83B673E0-7FFD-490E-947D-E27229699BF2}" uniqueName="57" name="SAMPLE.BEHAELTNIS" queryTableFieldId="57"/>
    <tableColumn id="58" xr3:uid="{C6873180-9EB9-403F-B7BA-72397657114F}" uniqueName="58" name="SAMPLE.ABFALLART" queryTableFieldId="58"/>
    <tableColumn id="59" xr3:uid="{29B1ED7B-B579-4ED3-8958-EB00977833DD}" uniqueName="59" name="SAMPLE.GERUCH" queryTableFieldId="59"/>
    <tableColumn id="60" xr3:uid="{CE88E673-E6CD-49B6-AEA8-30DA8798F8F0}" uniqueName="60" name="SAMPLE.KORNGROESSENVERTEILUNG" queryTableFieldId="60"/>
    <tableColumn id="61" xr3:uid="{6C95FE82-F728-4172-A8BE-9A6515018D58}" uniqueName="61" name="SAMPLE.DRUCKFESTIGKEIT" queryTableFieldId="61"/>
    <tableColumn id="62" xr3:uid="{0E4261D2-0A6C-4BBC-8CB9-D29296447DBA}" uniqueName="62" name="SAMPLE.FROSTEMPFINDLICHKEITSKLASSE" queryTableFieldId="62"/>
    <tableColumn id="63" xr3:uid="{31A13D07-40AA-4508-90B8-77D5861989C0}" uniqueName="63" name="SAMPLE.VERDICHTUNGSFAEHIGKEIT" queryTableFieldId="63"/>
    <tableColumn id="64" xr3:uid="{00F00511-3596-4352-A33C-8A11F66340C7}" uniqueName="64" name="SAMPLE.HOMOGENBEREICH" queryTableFieldId="64"/>
    <tableColumn id="65" xr3:uid="{0ABB4366-DA47-4567-B264-69158B8B671F}" uniqueName="65" name="PARAMETER.LP.ID" queryTableFieldId="65"/>
    <tableColumn id="66" xr3:uid="{AF6E87CA-EDA5-4977-920D-D8AF40B53E7C}" uniqueName="66" name="PARAMETER.LP.NUMMER" queryTableFieldId="66"/>
    <tableColumn id="67" xr3:uid="{68E6EABD-AD9E-408B-B623-382E017A416A}" uniqueName="67" name="PARAMETER.LP.WERT_1" queryTableFieldId="67"/>
    <tableColumn id="68" xr3:uid="{DD9A24D1-287E-457A-AC5E-8DE3B68CF462}" uniqueName="68" name="PARAMETER.LP.WERT_2" queryTableFieldId="68"/>
    <tableColumn id="69" xr3:uid="{142106CA-0222-4EA1-909B-C3890E97C329}" uniqueName="69" name="PARAMETER.LP.WERT_3" queryTableFieldId="69"/>
    <tableColumn id="70" xr3:uid="{971A6C18-9E9D-4EA4-BD35-22E598D0F4EE}" uniqueName="70" name="PARAMETER.LP.MITTELWERT" queryTableFieldId="70"/>
    <tableColumn id="71" xr3:uid="{16D54942-49DB-45FF-9DFE-E0E8C2B7BF08}" uniqueName="71" name="PARAMETER.LP.EV" queryTableFieldId="71"/>
    <tableColumn id="72" xr3:uid="{711B454E-2A09-47B5-9FE1-C77B81E8684C}" uniqueName="72" name="PARAMETER.LP.EV85" queryTableFieldId="72"/>
    <tableColumn id="73" xr3:uid="{21684DB4-6307-41CA-B0B8-DA0DFB9CF7B7}" uniqueName="73" name="PARAMETER.LP.EV2" queryTableFieldId="73"/>
    <tableColumn id="74" xr3:uid="{9CBAC62C-4F65-4663-865F-125F316CC435}" uniqueName="74" name="PARAMETER.LP.EV2_SOLL" queryTableFieldId="74"/>
    <tableColumn id="75" xr3:uid="{D72F4EBC-AA4A-4197-8D60-0942AA9926E5}" uniqueName="75" name="PARAMETER.RUK.ID" queryTableFieldId="75"/>
    <tableColumn id="76" xr3:uid="{F838EF34-D435-4517-A010-6F90A9268638}" uniqueName="76" name="PARAMETER.RUK.NUMMER" queryTableFieldId="76"/>
    <tableColumn id="77" xr3:uid="{9FBA3F08-6727-4E28-9A6E-EE214C5A06CE}" uniqueName="77" name="PARAMETER.RUK.PROBENART" queryTableFieldId="77"/>
    <tableColumn id="78" xr3:uid="{B9C021BA-BE21-465B-9B18-A5484295CEB8}" uniqueName="78" name="PARAMETER.RUK.WERT" queryTableFieldId="78"/>
    <tableColumn id="79" xr3:uid="{D7B469A4-250D-479C-A61C-7DAEF85812C4}" uniqueName="79" name="PARAMETER.CHEMISTRY.ID" queryTableFieldId="79" dataDxfId="60"/>
    <tableColumn id="80" xr3:uid="{EA7B89D7-9748-4FF0-90CF-0195CA3F7C5E}" uniqueName="80" name="PARAMETER.CHEMISTRY.MUFV" queryTableFieldId="80" dataDxfId="59"/>
    <tableColumn id="81" xr3:uid="{19E0A9D6-B29F-4122-9CC5-9AF89CF9CD6F}" uniqueName="81" name="PARAMETER.CHEMISTRY.MUFV_PARAMETER" queryTableFieldId="81" dataDxfId="58"/>
    <tableColumn id="82" xr3:uid="{9FCFA60B-8E71-4B8F-99EF-464DA5BD59BE}" uniqueName="82" name="PARAMETER.CHEMISTRY.ASBEST" queryTableFieldId="82" dataDxfId="57"/>
    <tableColumn id="83" xr3:uid="{BF395E95-18E4-4BB2-AF2A-C5E07E501FEA}" uniqueName="83" name="PARAMETER.CHEMISTRY.KMF" queryTableFieldId="83" dataDxfId="56"/>
    <tableColumn id="84" xr3:uid="{F4EFBD04-8DC3-4C18-95AA-494A8FE0D8BB}" uniqueName="84" name="PARAMETER.CHEMISTRY.PAK" queryTableFieldId="84" dataDxfId="55"/>
    <tableColumn id="85" xr3:uid="{91C096D3-2A97-4B20-8B87-B5742CA749AF}" uniqueName="85" name="PARAMETER.CHEMISTRY.PCB" queryTableFieldId="85" dataDxfId="54"/>
    <tableColumn id="86" xr3:uid="{E9E4E907-A4D4-43C3-A19A-2E818573F3E6}" uniqueName="86" name="PARAMETER.CHEMISTRY.BTEX" queryTableFieldId="86" dataDxfId="53"/>
    <tableColumn id="87" xr3:uid="{B59C9EDD-D9E8-4CA2-9D42-74635450FD24}" uniqueName="87" name="PARAMETER.CHEMISTRY.EOX" queryTableFieldId="87" dataDxfId="52"/>
    <tableColumn id="88" xr3:uid="{A0F25473-75EF-4479-BB36-0ED43A825101}" uniqueName="88" name="PARAMETER.CHEMISTRY.PHENOLE" queryTableFieldId="88" dataDxfId="51"/>
    <tableColumn id="89" xr3:uid="{CE4F0F1E-6C92-4ECF-AEEB-6574B5B000C6}" uniqueName="89" name="PARAMETER.CHEMISTRY.ICP_SCREENING" queryTableFieldId="89" dataDxfId="50"/>
    <tableColumn id="90" xr3:uid="{D02FC671-B79C-4848-9EB3-01CD923F1DD1}" uniqueName="90" name="PARAMETER.CHEMISTRY.MKW_C10_C22" queryTableFieldId="90" dataDxfId="49"/>
    <tableColumn id="91" xr3:uid="{B52337B6-6C16-4E82-B6FF-01E3AB51F93F}" uniqueName="91" name="PARAMETER.CHEMISTRY.MKW_C10_C40" queryTableFieldId="91" dataDxfId="48"/>
    <tableColumn id="92" xr3:uid="{0EB8437C-FE3F-4D32-BE8A-8DE5C1316C42}" uniqueName="92" name="PARAMETER.CHEMISTRY.SULFAT" queryTableFieldId="92" dataDxfId="47"/>
    <tableColumn id="93" xr3:uid="{EB7FA2C5-FB28-4CB1-BFE5-88CE06294D00}" uniqueName="93" name="PARAMETER.CHEMISTRY.ALTHOLZ_VERORDNUNG" queryTableFieldId="93" dataDxfId="46"/>
    <tableColumn id="94" xr3:uid="{9BF7DE40-15D6-4FBE-8A58-49E8A877C088}" uniqueName="94" name="PARAMETER.CHEMISTRY.FCKW" queryTableFieldId="94" dataDxfId="45"/>
    <tableColumn id="95" xr3:uid="{2AE6BA56-1AE7-4BAF-80B1-29283398401C}" uniqueName="95" name="PARAMETER.CHEMISTRY.HBCD" queryTableFieldId="95" dataDxfId="44"/>
    <tableColumn id="96" xr3:uid="{58BDE9F6-7C1F-4331-A195-61470D0E24E1}" uniqueName="96" name="PARAMETER.CHEMISTRY.LAGA_BO" queryTableFieldId="96" dataDxfId="43"/>
    <tableColumn id="97" xr3:uid="{B9B2F0AB-D8DD-4327-B717-38B9A0EE665A}" uniqueName="97" name="PARAMETER.CHEMISTRY.LAGA_RC" queryTableFieldId="97" dataDxfId="42"/>
    <tableColumn id="98" xr3:uid="{7C3B7066-3C31-43E1-A227-D8A7680C084E}" uniqueName="98" name="PARAMETER.CHEMISTRY.LAGA_RC_ORIENTIERUNGSWERT" queryTableFieldId="98" dataDxfId="41"/>
    <tableColumn id="99" xr3:uid="{BFEB90AC-3D98-43C0-B556-CB7F9187EFEF}" uniqueName="99" name="PARAMETER.CHEMISTRY.TL_GESTEIN" queryTableFieldId="99" dataDxfId="40"/>
    <tableColumn id="100" xr3:uid="{ADBD7CE1-8FED-4888-9937-10C14F672E6B}" uniqueName="100" name="PARAMETER.CHEMISTRY.DEPV" queryTableFieldId="100" dataDxfId="39"/>
    <tableColumn id="101" xr3:uid="{F1CD7C4C-B4B8-4996-BD64-5402413E96A3}" uniqueName="101" name="PARAMETER.CHEMISTRY.ENTSCHEIDUNGSHILFE" queryTableFieldId="101" dataDxfId="38"/>
    <tableColumn id="102" xr3:uid="{8614A399-5F3D-47D7-A83B-3788DC0E4AF3}" uniqueName="102" name="PARAMETER.CHEMISTRY.REKU" queryTableFieldId="102" dataDxfId="37"/>
    <tableColumn id="103" xr3:uid="{66057574-8543-43FE-8E2A-A7A1B6E6B772}" uniqueName="103" name="PARAMETER.CHEMISTRY.RUVA" queryTableFieldId="103" dataDxfId="36"/>
    <tableColumn id="104" xr3:uid="{F915A6E9-6347-4B1F-9854-47D339FFA5DE}" uniqueName="104" name="PARAMETER.CHEMISTRY.ABFALLSCHLUESSEL" queryTableFieldId="104"/>
    <tableColumn id="105" xr3:uid="{E8669BED-F693-437E-A5CF-D3C12E6A3325}" uniqueName="105" name="PARAMETER.CHEMISTRY.LFS" queryTableFieldId="105" dataDxfId="35"/>
    <tableColumn id="106" xr3:uid="{B6B75C31-DBDE-40DA-A4F4-05E5B40DC714}" uniqueName="106" name="SAMPLE.VOLUMEN" queryTableFieldId="106"/>
    <tableColumn id="107" xr3:uid="{E1969233-1D5B-4215-8C0E-A832A5571BAD}" uniqueName="107" name="SAMPLE.PROBEN" queryTableFieldId="107"/>
    <tableColumn id="108" xr3:uid="{720B12E9-2E00-4188-8C8F-E45BCBD4FB62}" uniqueName="108" name="PROBE.BAUTEIL" queryTableFieldId="108"/>
    <tableColumn id="109" xr3:uid="{E310E9CB-39E2-447F-BB73-F3601F9DD71D}" uniqueName="109" name="PROBE.PROBENCHARAKTER" queryTableFieldId="109"/>
    <tableColumn id="110" xr3:uid="{69C9A3D5-B445-4E85-A5A1-5931E126C1B7}" uniqueName="110" name="PROBE.GERUCH" queryTableFieldId="110"/>
    <tableColumn id="111" xr3:uid="{8539F78C-3FAE-4863-8202-73ADF6089C5B}" uniqueName="111" name="PROBE.PROBENNUMMER" queryTableFieldId="111"/>
    <tableColumn id="112" xr3:uid="{5D1F9A50-928D-4B70-8F6A-59D52155C88C}" uniqueName="112" name="PROBE.GEBAEUDE" queryTableFieldId="112"/>
    <tableColumn id="113" xr3:uid="{C48C79A5-B9CC-4214-B4AD-6D20D511CA1D}" uniqueName="113" name="PROBE.ETAGE" queryTableFieldId="113"/>
    <tableColumn id="114" xr3:uid="{109A1221-CB00-4B10-9218-937D3CFA2DD1}" uniqueName="114" name="PROBE.RAUM" queryTableFieldId="114"/>
    <tableColumn id="115" xr3:uid="{3685115E-F35E-4BA5-8941-E3E8934891A1}" uniqueName="115" name="PROBE.ENTNAHME" queryTableFieldId="115"/>
    <tableColumn id="116" xr3:uid="{3667CDA9-4EB6-4DEA-8D23-2E11C071F067}" uniqueName="116" name="SAMPLE.MATERIAL" queryTableFieldId="116"/>
    <tableColumn id="117" xr3:uid="{5A068975-C7FA-410D-A95F-9794A22D9C73}" uniqueName="117" name="SAMPLE.ENTNAHME" queryTableFieldId="117"/>
    <tableColumn id="118" xr3:uid="{CEB2587B-33B3-4C37-ABC6-3BBB32786E76}" uniqueName="118" name="SAMPLE.MATERIAL_VERGLEICH" queryTableFieldId="118"/>
    <tableColumn id="119" xr3:uid="{BFBD43EC-8A79-4735-8682-52A61BB0C82A}" uniqueName="119" name="SAMPLE.SCHADSTOFFVERDACHT" queryTableFieldId="119"/>
    <tableColumn id="120" xr3:uid="{520311E4-228E-4E8C-815D-C682B7EA376A}" uniqueName="120" name="SAMPLE.ABFALLSCHLUESSEL_MATERIAL" queryTableFieldId="120" dataDxfId="34"/>
    <tableColumn id="121" xr3:uid="{5670F0FE-4B01-471C-8A2A-C2BFF0D9388F}" uniqueName="121" name="SAMPLE.ABFALLSCHLUESSEL_GEMISCH" queryTableFieldId="121" dataDxfId="3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8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C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28515625" bestFit="1" customWidth="1"/>
    <col min="50" max="50" width="30.5703125" bestFit="1" customWidth="1"/>
    <col min="51" max="51" width="46" bestFit="1" customWidth="1"/>
    <col min="52" max="52" width="30.5703125" bestFit="1" customWidth="1"/>
    <col min="53" max="53" width="31" bestFit="1" customWidth="1"/>
    <col min="54" max="54" width="43.140625" bestFit="1" customWidth="1"/>
    <col min="55" max="55" width="28.7109375" bestFit="1" customWidth="1"/>
    <col min="56" max="56" width="28.85546875" customWidth="1"/>
  </cols>
  <sheetData>
    <row r="1" spans="1:55" x14ac:dyDescent="0.25">
      <c r="A1" t="s">
        <v>13</v>
      </c>
      <c r="B1" t="s">
        <v>461</v>
      </c>
      <c r="C1" t="s">
        <v>14</v>
      </c>
      <c r="D1" s="2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304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462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434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334</v>
      </c>
      <c r="AM1" t="s">
        <v>179</v>
      </c>
      <c r="AN1" t="s">
        <v>439</v>
      </c>
      <c r="AO1" t="s">
        <v>440</v>
      </c>
      <c r="AP1" t="s">
        <v>180</v>
      </c>
      <c r="AQ1" t="s">
        <v>183</v>
      </c>
      <c r="AR1" t="s">
        <v>435</v>
      </c>
      <c r="AS1" t="s">
        <v>436</v>
      </c>
      <c r="AT1" t="s">
        <v>156</v>
      </c>
      <c r="AU1" t="s">
        <v>157</v>
      </c>
      <c r="AV1" t="s">
        <v>333</v>
      </c>
      <c r="AW1" t="s">
        <v>158</v>
      </c>
      <c r="AX1" t="s">
        <v>159</v>
      </c>
      <c r="AY1" t="s">
        <v>160</v>
      </c>
      <c r="AZ1" t="s">
        <v>161</v>
      </c>
      <c r="BA1" t="s">
        <v>351</v>
      </c>
      <c r="BB1" t="s">
        <v>455</v>
      </c>
      <c r="BC1" t="s">
        <v>155</v>
      </c>
    </row>
    <row r="2" spans="1:55" x14ac:dyDescent="0.25">
      <c r="A2" t="s">
        <v>444</v>
      </c>
      <c r="B2" t="s">
        <v>463</v>
      </c>
      <c r="C2">
        <v>0</v>
      </c>
      <c r="D2" s="21">
        <v>45249</v>
      </c>
      <c r="M2" t="s">
        <v>466</v>
      </c>
      <c r="N2" t="s">
        <v>444</v>
      </c>
      <c r="P2" t="s">
        <v>460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5" x14ac:dyDescent="0.25">
      <c r="A3" t="s">
        <v>2</v>
      </c>
      <c r="B3" t="s">
        <v>463</v>
      </c>
      <c r="C3">
        <v>1</v>
      </c>
      <c r="D3" s="21">
        <v>44959</v>
      </c>
      <c r="E3" t="s">
        <v>352</v>
      </c>
      <c r="F3" t="s">
        <v>295</v>
      </c>
      <c r="H3" t="s">
        <v>353</v>
      </c>
      <c r="I3" t="s">
        <v>352</v>
      </c>
      <c r="J3" t="s">
        <v>354</v>
      </c>
      <c r="L3" t="s">
        <v>409</v>
      </c>
      <c r="M3" t="s">
        <v>467</v>
      </c>
      <c r="N3" t="s">
        <v>2</v>
      </c>
      <c r="O3" t="s">
        <v>342</v>
      </c>
      <c r="P3" t="s">
        <v>460</v>
      </c>
      <c r="Q3">
        <v>1</v>
      </c>
      <c r="R3" t="s">
        <v>299</v>
      </c>
      <c r="U3">
        <v>3</v>
      </c>
      <c r="V3">
        <v>0</v>
      </c>
      <c r="W3">
        <v>3</v>
      </c>
      <c r="AC3" t="s">
        <v>342</v>
      </c>
      <c r="AD3" t="s">
        <v>4</v>
      </c>
      <c r="AY3" t="s">
        <v>223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B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2.28515625" bestFit="1" customWidth="1"/>
    <col min="32" max="32" width="29.85546875" bestFit="1" customWidth="1"/>
    <col min="33" max="33" width="29.42578125" bestFit="1" customWidth="1"/>
    <col min="34" max="34" width="29.28515625" bestFit="1" customWidth="1"/>
    <col min="35" max="35" width="30.140625" bestFit="1" customWidth="1"/>
    <col min="36" max="36" width="29.42578125" bestFit="1" customWidth="1"/>
    <col min="37" max="37" width="34.140625" bestFit="1" customWidth="1"/>
    <col min="38" max="38" width="40.140625" bestFit="1" customWidth="1"/>
    <col min="39" max="40" width="39.42578125" bestFit="1" customWidth="1"/>
    <col min="41" max="41" width="32.42578125" bestFit="1" customWidth="1"/>
    <col min="42" max="42" width="48" bestFit="1" customWidth="1"/>
    <col min="43" max="43" width="31.140625" bestFit="1" customWidth="1"/>
    <col min="44" max="44" width="30.7109375" bestFit="1" customWidth="1"/>
    <col min="45" max="45" width="34.42578125" bestFit="1" customWidth="1"/>
    <col min="46" max="46" width="34.140625" bestFit="1" customWidth="1"/>
    <col min="47" max="47" width="55.42578125" bestFit="1" customWidth="1"/>
    <col min="48" max="48" width="36.28515625" bestFit="1" customWidth="1"/>
    <col min="49" max="49" width="30.5703125" bestFit="1" customWidth="1"/>
    <col min="50" max="50" width="46" bestFit="1" customWidth="1"/>
    <col min="51" max="51" width="30.5703125" bestFit="1" customWidth="1"/>
    <col min="52" max="52" width="31" bestFit="1" customWidth="1"/>
    <col min="53" max="53" width="43.140625" bestFit="1" customWidth="1"/>
    <col min="54" max="54" width="28.7109375" bestFit="1" customWidth="1"/>
  </cols>
  <sheetData>
    <row r="1" spans="1:54" x14ac:dyDescent="0.25">
      <c r="A1" t="s">
        <v>13</v>
      </c>
      <c r="B1" t="s">
        <v>461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462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334</v>
      </c>
      <c r="AL1" t="s">
        <v>179</v>
      </c>
      <c r="AM1" t="s">
        <v>439</v>
      </c>
      <c r="AN1" t="s">
        <v>440</v>
      </c>
      <c r="AO1" t="s">
        <v>180</v>
      </c>
      <c r="AP1" t="s">
        <v>183</v>
      </c>
      <c r="AQ1" t="s">
        <v>435</v>
      </c>
      <c r="AR1" t="s">
        <v>436</v>
      </c>
      <c r="AS1" t="s">
        <v>156</v>
      </c>
      <c r="AT1" t="s">
        <v>157</v>
      </c>
      <c r="AU1" t="s">
        <v>333</v>
      </c>
      <c r="AV1" t="s">
        <v>158</v>
      </c>
      <c r="AW1" t="s">
        <v>159</v>
      </c>
      <c r="AX1" t="s">
        <v>160</v>
      </c>
      <c r="AY1" t="s">
        <v>161</v>
      </c>
      <c r="AZ1" t="s">
        <v>351</v>
      </c>
      <c r="BA1" t="s">
        <v>455</v>
      </c>
      <c r="BB1" t="s">
        <v>155</v>
      </c>
    </row>
    <row r="2" spans="1:54" x14ac:dyDescent="0.25">
      <c r="A2" t="s">
        <v>1</v>
      </c>
      <c r="B2" t="s">
        <v>459</v>
      </c>
      <c r="C2">
        <v>1</v>
      </c>
      <c r="D2" s="21">
        <v>45353</v>
      </c>
      <c r="E2" t="s">
        <v>345</v>
      </c>
      <c r="F2" t="s">
        <v>335</v>
      </c>
      <c r="G2" t="s">
        <v>346</v>
      </c>
      <c r="H2" t="s">
        <v>338</v>
      </c>
      <c r="I2" t="s">
        <v>339</v>
      </c>
      <c r="J2" t="s">
        <v>452</v>
      </c>
      <c r="K2" t="s">
        <v>1</v>
      </c>
      <c r="L2" t="s">
        <v>342</v>
      </c>
      <c r="M2" t="s">
        <v>465</v>
      </c>
      <c r="N2">
        <v>2</v>
      </c>
      <c r="O2" t="s">
        <v>312</v>
      </c>
      <c r="P2" t="s">
        <v>443</v>
      </c>
      <c r="Q2" s="10" t="s">
        <v>445</v>
      </c>
      <c r="R2" t="s">
        <v>443</v>
      </c>
      <c r="S2">
        <v>250</v>
      </c>
      <c r="T2">
        <v>7</v>
      </c>
      <c r="U2" t="s">
        <v>215</v>
      </c>
      <c r="V2" t="s">
        <v>442</v>
      </c>
      <c r="W2" t="s">
        <v>446</v>
      </c>
      <c r="X2" t="s">
        <v>447</v>
      </c>
      <c r="Y2" t="s">
        <v>220</v>
      </c>
      <c r="Z2" t="s">
        <v>263</v>
      </c>
      <c r="AB2" t="s">
        <v>342</v>
      </c>
      <c r="AC2" t="s">
        <v>4</v>
      </c>
      <c r="AX2" t="s">
        <v>223</v>
      </c>
    </row>
    <row r="3" spans="1:54" x14ac:dyDescent="0.25">
      <c r="A3" t="s">
        <v>1</v>
      </c>
      <c r="B3" t="s">
        <v>459</v>
      </c>
      <c r="C3">
        <v>1</v>
      </c>
      <c r="D3" s="21">
        <v>45353</v>
      </c>
      <c r="E3" t="s">
        <v>345</v>
      </c>
      <c r="F3" t="s">
        <v>335</v>
      </c>
      <c r="G3" t="s">
        <v>346</v>
      </c>
      <c r="H3" t="s">
        <v>338</v>
      </c>
      <c r="I3" t="s">
        <v>339</v>
      </c>
      <c r="J3" t="s">
        <v>441</v>
      </c>
      <c r="K3" t="s">
        <v>1</v>
      </c>
      <c r="L3" t="s">
        <v>3</v>
      </c>
      <c r="M3" t="s">
        <v>465</v>
      </c>
      <c r="N3">
        <v>1</v>
      </c>
      <c r="O3" t="s">
        <v>312</v>
      </c>
      <c r="P3" t="s">
        <v>344</v>
      </c>
      <c r="Q3" s="10" t="s">
        <v>343</v>
      </c>
      <c r="R3" t="s">
        <v>347</v>
      </c>
      <c r="S3">
        <v>250</v>
      </c>
      <c r="T3">
        <v>7</v>
      </c>
      <c r="U3" t="s">
        <v>232</v>
      </c>
      <c r="V3" t="s">
        <v>348</v>
      </c>
      <c r="W3" t="s">
        <v>303</v>
      </c>
      <c r="Z3" t="s">
        <v>234</v>
      </c>
      <c r="AA3" t="s">
        <v>349</v>
      </c>
      <c r="AB3" t="s">
        <v>3</v>
      </c>
      <c r="AC3" t="s">
        <v>237</v>
      </c>
      <c r="AE3" t="s">
        <v>241</v>
      </c>
      <c r="AH3" t="s">
        <v>478</v>
      </c>
      <c r="AI3" t="s">
        <v>478</v>
      </c>
      <c r="AJ3" t="s">
        <v>478</v>
      </c>
      <c r="AK3" t="s">
        <v>478</v>
      </c>
      <c r="AL3" t="s">
        <v>478</v>
      </c>
      <c r="AM3" t="s">
        <v>478</v>
      </c>
      <c r="AN3" t="s">
        <v>478</v>
      </c>
      <c r="AO3" t="s">
        <v>478</v>
      </c>
      <c r="AP3" t="s">
        <v>403</v>
      </c>
      <c r="AQ3" t="s">
        <v>478</v>
      </c>
      <c r="AR3" t="s">
        <v>478</v>
      </c>
      <c r="AS3" t="s">
        <v>221</v>
      </c>
      <c r="AT3" t="s">
        <v>221</v>
      </c>
      <c r="AU3" t="s">
        <v>239</v>
      </c>
      <c r="AV3" t="s">
        <v>267</v>
      </c>
      <c r="AW3" t="s">
        <v>477</v>
      </c>
      <c r="AX3" t="s">
        <v>470</v>
      </c>
      <c r="AY3" t="s">
        <v>5</v>
      </c>
      <c r="AZ3" t="s">
        <v>478</v>
      </c>
      <c r="BB3" t="s">
        <v>239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A9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8.85546875" customWidth="1"/>
  </cols>
  <sheetData>
    <row r="1" spans="1:105" x14ac:dyDescent="0.25">
      <c r="A1" t="s">
        <v>13</v>
      </c>
      <c r="B1" t="s">
        <v>461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323</v>
      </c>
      <c r="Y1" t="s">
        <v>324</v>
      </c>
      <c r="Z1" t="s">
        <v>325</v>
      </c>
      <c r="AA1" t="s">
        <v>326</v>
      </c>
      <c r="AB1" t="s">
        <v>327</v>
      </c>
      <c r="AC1" t="s">
        <v>328</v>
      </c>
      <c r="AD1" t="s">
        <v>329</v>
      </c>
      <c r="AE1" t="s">
        <v>330</v>
      </c>
      <c r="AF1" t="s">
        <v>331</v>
      </c>
      <c r="AG1" t="s">
        <v>332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305</v>
      </c>
      <c r="BT1" s="5" t="s">
        <v>306</v>
      </c>
      <c r="BU1" s="5" t="s">
        <v>307</v>
      </c>
      <c r="BV1" t="s">
        <v>308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334</v>
      </c>
      <c r="CK1" t="s">
        <v>179</v>
      </c>
      <c r="CL1" t="s">
        <v>439</v>
      </c>
      <c r="CM1" t="s">
        <v>440</v>
      </c>
      <c r="CN1" t="s">
        <v>180</v>
      </c>
      <c r="CO1" t="s">
        <v>183</v>
      </c>
      <c r="CP1" t="s">
        <v>435</v>
      </c>
      <c r="CQ1" t="s">
        <v>436</v>
      </c>
      <c r="CR1" t="s">
        <v>156</v>
      </c>
      <c r="CS1" t="s">
        <v>157</v>
      </c>
      <c r="CT1" t="s">
        <v>333</v>
      </c>
      <c r="CU1" t="s">
        <v>158</v>
      </c>
      <c r="CV1" t="s">
        <v>159</v>
      </c>
      <c r="CW1" t="s">
        <v>160</v>
      </c>
      <c r="CX1" t="s">
        <v>161</v>
      </c>
      <c r="CY1" t="s">
        <v>351</v>
      </c>
      <c r="CZ1" t="s">
        <v>455</v>
      </c>
      <c r="DA1" t="s">
        <v>155</v>
      </c>
    </row>
    <row r="2" spans="1:105" x14ac:dyDescent="0.25">
      <c r="A2" t="s">
        <v>0</v>
      </c>
      <c r="B2" t="s">
        <v>464</v>
      </c>
      <c r="C2">
        <v>1</v>
      </c>
      <c r="D2" s="21">
        <v>44958</v>
      </c>
      <c r="E2" t="s">
        <v>337</v>
      </c>
      <c r="F2" t="s">
        <v>335</v>
      </c>
      <c r="G2" t="s">
        <v>336</v>
      </c>
      <c r="H2" t="s">
        <v>338</v>
      </c>
      <c r="I2" t="s">
        <v>339</v>
      </c>
      <c r="J2" t="s">
        <v>243</v>
      </c>
      <c r="K2" t="s">
        <v>227</v>
      </c>
      <c r="L2" t="s">
        <v>227</v>
      </c>
      <c r="M2" t="s">
        <v>228</v>
      </c>
      <c r="N2" t="s">
        <v>229</v>
      </c>
      <c r="O2" t="s">
        <v>340</v>
      </c>
      <c r="P2" t="s">
        <v>230</v>
      </c>
      <c r="Q2" t="s">
        <v>230</v>
      </c>
      <c r="R2" t="s">
        <v>230</v>
      </c>
      <c r="S2">
        <v>10</v>
      </c>
      <c r="T2" t="s">
        <v>341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475</v>
      </c>
      <c r="AI2" t="s">
        <v>0</v>
      </c>
      <c r="AJ2" t="s">
        <v>3</v>
      </c>
      <c r="AK2" t="s">
        <v>468</v>
      </c>
      <c r="AM2" t="s">
        <v>460</v>
      </c>
      <c r="AN2">
        <v>2</v>
      </c>
      <c r="AO2" t="s">
        <v>190</v>
      </c>
      <c r="AP2" t="s">
        <v>189</v>
      </c>
      <c r="AQ2" t="s">
        <v>310</v>
      </c>
      <c r="AS2">
        <v>3</v>
      </c>
      <c r="AV2" t="s">
        <v>191</v>
      </c>
      <c r="AW2" t="s">
        <v>233</v>
      </c>
      <c r="AX2" t="s">
        <v>442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448</v>
      </c>
      <c r="BG2" t="s">
        <v>303</v>
      </c>
      <c r="BH2">
        <v>2</v>
      </c>
      <c r="BI2" t="s">
        <v>451</v>
      </c>
      <c r="BJ2" t="s">
        <v>451</v>
      </c>
      <c r="BK2" t="s">
        <v>191</v>
      </c>
      <c r="BL2" t="s">
        <v>451</v>
      </c>
      <c r="BR2" s="33"/>
      <c r="BS2"/>
      <c r="BT2" s="5"/>
      <c r="BU2" s="5"/>
      <c r="BW2" t="s">
        <v>468</v>
      </c>
      <c r="BX2">
        <v>1</v>
      </c>
      <c r="BY2" t="s">
        <v>6</v>
      </c>
      <c r="BZ2" s="3">
        <v>77</v>
      </c>
      <c r="CA2" s="33" t="s">
        <v>3</v>
      </c>
      <c r="CB2" s="33" t="s">
        <v>237</v>
      </c>
      <c r="CC2" s="33"/>
      <c r="CD2" s="33" t="s">
        <v>241</v>
      </c>
      <c r="CE2" s="33"/>
      <c r="CF2" s="33"/>
      <c r="CG2" s="33" t="s">
        <v>478</v>
      </c>
      <c r="CH2" s="33" t="s">
        <v>478</v>
      </c>
      <c r="CI2" s="33" t="s">
        <v>478</v>
      </c>
      <c r="CJ2" s="33" t="s">
        <v>478</v>
      </c>
      <c r="CK2" s="33" t="s">
        <v>478</v>
      </c>
      <c r="CL2" s="33" t="s">
        <v>478</v>
      </c>
      <c r="CM2" s="33" t="s">
        <v>478</v>
      </c>
      <c r="CN2" s="33" t="s">
        <v>478</v>
      </c>
      <c r="CO2" s="33" t="s">
        <v>403</v>
      </c>
      <c r="CP2" s="33" t="s">
        <v>478</v>
      </c>
      <c r="CQ2" s="33" t="s">
        <v>478</v>
      </c>
      <c r="CR2" s="33" t="s">
        <v>221</v>
      </c>
      <c r="CS2" s="33" t="s">
        <v>221</v>
      </c>
      <c r="CT2" s="33" t="s">
        <v>239</v>
      </c>
      <c r="CU2" s="33" t="s">
        <v>267</v>
      </c>
      <c r="CV2" s="33" t="s">
        <v>477</v>
      </c>
      <c r="CW2" s="33" t="s">
        <v>470</v>
      </c>
      <c r="CX2" s="33" t="s">
        <v>5</v>
      </c>
      <c r="CY2" s="33" t="s">
        <v>478</v>
      </c>
      <c r="DA2" s="33" t="s">
        <v>239</v>
      </c>
    </row>
    <row r="3" spans="1:105" x14ac:dyDescent="0.25">
      <c r="A3" t="s">
        <v>0</v>
      </c>
      <c r="B3" t="s">
        <v>464</v>
      </c>
      <c r="C3">
        <v>1</v>
      </c>
      <c r="D3" s="21">
        <v>44958</v>
      </c>
      <c r="E3" t="s">
        <v>337</v>
      </c>
      <c r="F3" t="s">
        <v>335</v>
      </c>
      <c r="G3" t="s">
        <v>336</v>
      </c>
      <c r="H3" t="s">
        <v>338</v>
      </c>
      <c r="I3" t="s">
        <v>339</v>
      </c>
      <c r="J3" t="s">
        <v>243</v>
      </c>
      <c r="K3" t="s">
        <v>227</v>
      </c>
      <c r="L3" t="s">
        <v>227</v>
      </c>
      <c r="M3" t="s">
        <v>228</v>
      </c>
      <c r="N3" t="s">
        <v>229</v>
      </c>
      <c r="O3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453</v>
      </c>
      <c r="AI3" t="s">
        <v>0</v>
      </c>
      <c r="AJ3" t="s">
        <v>342</v>
      </c>
      <c r="AL3" t="s">
        <v>469</v>
      </c>
      <c r="AM3" t="s">
        <v>460</v>
      </c>
      <c r="AN3">
        <v>1</v>
      </c>
      <c r="AO3" t="s">
        <v>231</v>
      </c>
      <c r="AP3" t="s">
        <v>189</v>
      </c>
      <c r="AQ3" t="s">
        <v>310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449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189</v>
      </c>
      <c r="BG3" t="s">
        <v>403</v>
      </c>
      <c r="BH3">
        <v>1</v>
      </c>
      <c r="BI3" t="s">
        <v>450</v>
      </c>
      <c r="BJ3" t="s">
        <v>450</v>
      </c>
      <c r="BK3" t="s">
        <v>220</v>
      </c>
      <c r="BL3" t="s">
        <v>450</v>
      </c>
      <c r="BM3" t="s">
        <v>469</v>
      </c>
      <c r="BN3">
        <v>1</v>
      </c>
      <c r="BO3">
        <v>0.42</v>
      </c>
      <c r="BP3">
        <v>0.39</v>
      </c>
      <c r="BQ3">
        <v>0.39</v>
      </c>
      <c r="BR3" s="3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s="33" t="s">
        <v>342</v>
      </c>
      <c r="CB3" s="33" t="s">
        <v>4</v>
      </c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 t="s">
        <v>223</v>
      </c>
      <c r="CX3" s="33"/>
      <c r="CY3" s="33"/>
      <c r="DA3" s="33"/>
    </row>
    <row r="4" spans="1:105" x14ac:dyDescent="0.25">
      <c r="A4" t="s">
        <v>471</v>
      </c>
      <c r="B4" t="s">
        <v>464</v>
      </c>
      <c r="C4">
        <v>2</v>
      </c>
      <c r="D4" s="21">
        <v>45353</v>
      </c>
      <c r="E4" t="s">
        <v>484</v>
      </c>
      <c r="N4" t="s">
        <v>476</v>
      </c>
      <c r="BR4" s="33"/>
      <c r="BS4"/>
      <c r="BT4" s="5"/>
      <c r="BU4" s="5"/>
      <c r="BX4"/>
      <c r="BZ4" s="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DA4" s="33"/>
    </row>
    <row r="5" spans="1:105" x14ac:dyDescent="0.25">
      <c r="A5" t="s">
        <v>479</v>
      </c>
      <c r="B5" t="s">
        <v>464</v>
      </c>
      <c r="C5">
        <v>3</v>
      </c>
      <c r="D5" s="21">
        <v>45718</v>
      </c>
      <c r="E5" t="s">
        <v>480</v>
      </c>
      <c r="BR5" s="33"/>
      <c r="BS5"/>
      <c r="BT5" s="5"/>
      <c r="BU5" s="5"/>
      <c r="BX5"/>
      <c r="BZ5" s="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DA5" s="33"/>
    </row>
    <row r="6" spans="1:105" x14ac:dyDescent="0.25">
      <c r="A6" t="s">
        <v>481</v>
      </c>
      <c r="B6" t="s">
        <v>464</v>
      </c>
      <c r="C6">
        <v>4</v>
      </c>
      <c r="D6" s="21">
        <v>46083</v>
      </c>
      <c r="E6" t="s">
        <v>485</v>
      </c>
      <c r="BR6" s="33"/>
      <c r="BS6"/>
      <c r="BT6" s="5"/>
      <c r="BU6" s="5"/>
      <c r="BX6"/>
      <c r="BZ6" s="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DA6" s="33"/>
    </row>
    <row r="7" spans="1:105" x14ac:dyDescent="0.25">
      <c r="A7" t="s">
        <v>482</v>
      </c>
      <c r="B7" t="s">
        <v>464</v>
      </c>
      <c r="C7">
        <v>5</v>
      </c>
      <c r="D7" s="21">
        <v>46448</v>
      </c>
      <c r="E7" t="s">
        <v>486</v>
      </c>
      <c r="BR7" s="33"/>
      <c r="BS7"/>
      <c r="BT7" s="5"/>
      <c r="BU7" s="5"/>
      <c r="BX7"/>
      <c r="BZ7" s="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DA7" s="33"/>
    </row>
    <row r="8" spans="1:105" x14ac:dyDescent="0.25">
      <c r="A8" t="s">
        <v>497</v>
      </c>
      <c r="B8" t="s">
        <v>464</v>
      </c>
      <c r="C8">
        <v>18</v>
      </c>
      <c r="D8" s="21">
        <v>44987</v>
      </c>
      <c r="BR8" s="33"/>
      <c r="BS8"/>
      <c r="BT8" s="5"/>
      <c r="BU8" s="5"/>
      <c r="BX8"/>
      <c r="BZ8" s="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DA8" s="33"/>
    </row>
    <row r="9" spans="1:105" x14ac:dyDescent="0.25">
      <c r="A9" t="s">
        <v>483</v>
      </c>
      <c r="B9" t="s">
        <v>464</v>
      </c>
      <c r="C9">
        <v>123</v>
      </c>
      <c r="D9" s="21">
        <v>46814</v>
      </c>
      <c r="E9" t="s">
        <v>487</v>
      </c>
      <c r="BR9" s="33"/>
      <c r="BS9"/>
      <c r="BT9" s="5"/>
      <c r="BU9" s="5"/>
      <c r="BX9"/>
      <c r="BZ9" s="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DA9" s="3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A5"/>
  <sheetViews>
    <sheetView workbookViewId="0">
      <pane xSplit="1" topLeftCell="B1" activePane="topRight" state="frozen"/>
      <selection activeCell="M31" sqref="M31"/>
      <selection pane="topRight" activeCell="P6" sqref="P6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3" width="20.85546875" customWidth="1"/>
    <col min="4" max="4" width="17.140625" customWidth="1"/>
    <col min="5" max="5" width="17.28515625" customWidth="1"/>
    <col min="6" max="6" width="11.42578125" customWidth="1"/>
    <col min="7" max="7" width="6.7109375" customWidth="1"/>
    <col min="8" max="8" width="10.42578125" customWidth="1"/>
    <col min="9" max="9" width="6.85546875" customWidth="1"/>
    <col min="10" max="10" width="11.42578125" customWidth="1"/>
    <col min="11" max="11" width="18.28515625" customWidth="1"/>
    <col min="12" max="13" width="16.7109375" customWidth="1"/>
    <col min="14" max="14" width="9.85546875" customWidth="1"/>
    <col min="15" max="15" width="25.42578125" customWidth="1"/>
    <col min="16" max="17" width="11.42578125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</row>
    <row r="2" spans="1:27" x14ac:dyDescent="0.25">
      <c r="A2" t="s">
        <v>7</v>
      </c>
      <c r="B2" t="s">
        <v>104</v>
      </c>
      <c r="C2" t="s">
        <v>105</v>
      </c>
      <c r="D2" t="s">
        <v>113</v>
      </c>
      <c r="E2" t="s">
        <v>176</v>
      </c>
      <c r="F2" t="s">
        <v>83</v>
      </c>
      <c r="G2" t="s">
        <v>114</v>
      </c>
      <c r="H2" t="s">
        <v>115</v>
      </c>
      <c r="I2" t="s">
        <v>173</v>
      </c>
      <c r="J2" t="s">
        <v>300</v>
      </c>
      <c r="K2" t="s">
        <v>174</v>
      </c>
      <c r="L2" t="s">
        <v>437</v>
      </c>
      <c r="M2" t="s">
        <v>438</v>
      </c>
      <c r="N2" t="s">
        <v>175</v>
      </c>
      <c r="O2" t="s">
        <v>177</v>
      </c>
      <c r="P2" t="s">
        <v>405</v>
      </c>
      <c r="Q2" t="s">
        <v>406</v>
      </c>
      <c r="R2" t="s">
        <v>107</v>
      </c>
      <c r="S2" t="s">
        <v>108</v>
      </c>
      <c r="T2" t="s">
        <v>184</v>
      </c>
      <c r="U2" t="s">
        <v>109</v>
      </c>
      <c r="V2" t="s">
        <v>110</v>
      </c>
      <c r="W2" t="s">
        <v>111</v>
      </c>
      <c r="X2" t="s">
        <v>112</v>
      </c>
      <c r="Y2" t="s">
        <v>350</v>
      </c>
      <c r="Z2" t="s">
        <v>454</v>
      </c>
      <c r="AA2" t="s">
        <v>106</v>
      </c>
    </row>
    <row r="3" spans="1:27" x14ac:dyDescent="0.25">
      <c r="A3" t="str">
        <f t="shared" ref="A3:A5" si="0">"C"&amp;ROW()-3</f>
        <v>C0</v>
      </c>
      <c r="B3" t="s">
        <v>4</v>
      </c>
      <c r="W3" t="s">
        <v>223</v>
      </c>
    </row>
    <row r="4" spans="1:27" x14ac:dyDescent="0.25">
      <c r="A4" t="str">
        <f t="shared" si="0"/>
        <v>C1</v>
      </c>
      <c r="B4" t="s">
        <v>237</v>
      </c>
      <c r="D4" t="s">
        <v>241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403</v>
      </c>
      <c r="P4">
        <v>1</v>
      </c>
      <c r="Q4">
        <v>1</v>
      </c>
      <c r="R4" t="s">
        <v>221</v>
      </c>
      <c r="S4" t="s">
        <v>221</v>
      </c>
      <c r="T4" t="s">
        <v>239</v>
      </c>
      <c r="U4" t="s">
        <v>267</v>
      </c>
      <c r="V4" t="s">
        <v>477</v>
      </c>
      <c r="W4" t="s">
        <v>470</v>
      </c>
      <c r="X4" t="s">
        <v>5</v>
      </c>
      <c r="Y4">
        <v>1</v>
      </c>
      <c r="AA4" t="s">
        <v>239</v>
      </c>
    </row>
    <row r="5" spans="1:27" x14ac:dyDescent="0.25">
      <c r="A5" t="str">
        <f t="shared" si="0"/>
        <v>C2</v>
      </c>
      <c r="B5" t="s">
        <v>407</v>
      </c>
      <c r="R5" t="s">
        <v>238</v>
      </c>
      <c r="S5" t="s">
        <v>266</v>
      </c>
      <c r="W5" t="s">
        <v>472</v>
      </c>
      <c r="X5" t="s">
        <v>239</v>
      </c>
    </row>
  </sheetData>
  <mergeCells count="1">
    <mergeCell ref="A1:AA1"/>
  </mergeCells>
  <phoneticPr fontId="1" type="noConversion"/>
  <dataValidations count="12">
    <dataValidation type="list" allowBlank="1" showErrorMessage="1" sqref="D3:D5" xr:uid="{310B5C64-E75B-48B0-A433-987ACC6A4389}">
      <formula1>"nachweisbar, nicht nachweisbar"</formula1>
    </dataValidation>
    <dataValidation type="list" allowBlank="1" showInputMessage="1" showErrorMessage="1" sqref="O3:O5" xr:uid="{BE8A61CA-55EE-44EB-B6CC-F3311FC218FB}">
      <formula1>"auffällig, nicht auffällig"</formula1>
    </dataValidation>
    <dataValidation type="list" allowBlank="1" showInputMessage="1" showErrorMessage="1" sqref="T3:T5 X3:X5 AA3:AA21 AB3:AB11" xr:uid="{0C1B8A6C-111C-4A71-B7CB-19BBB7CA01B8}">
      <formula1>"eingehalten, nicht eingehalten"</formula1>
    </dataValidation>
    <dataValidation type="list" allowBlank="1" showInputMessage="1" showErrorMessage="1" sqref="W3:W5" xr:uid="{BBFD99F8-4F98-4551-92EF-03D41A8C6CE6}">
      <formula1>"Spalte 5, DK I, DK II"</formula1>
    </dataValidation>
    <dataValidation type="list" allowBlank="1" showInputMessage="1" showErrorMessage="1" sqref="U3:U5" xr:uid="{1E602BBC-AD99-4DA7-85B3-EFB0009D9C54}">
      <formula1>"RC1, RC2, RC3, &gt;RC3"</formula1>
    </dataValidation>
    <dataValidation type="list" allowBlank="1" showInputMessage="1" showErrorMessage="1" sqref="R3:S5" xr:uid="{FA06BEE0-3E9C-4195-BDEB-FDE18FB3A0C9}">
      <formula1>"Z0, Z0*, Z1.1, Z1.2, Z2, &gt;Z2"</formula1>
    </dataValidation>
    <dataValidation type="list" allowBlank="1" showInputMessage="1" showErrorMessage="1" sqref="B3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3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76BE-FF56-45DB-8EE3-A6E00D953DD9}">
          <x14:formula1>
            <xm:f>'Auswahl Listen'!$M$2:$M$6</xm:f>
          </x14:formula1>
          <xm:sqref>V3:V5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2"/>
  <sheetViews>
    <sheetView workbookViewId="0">
      <selection activeCell="D7" sqref="D7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3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3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4" customWidth="1"/>
    <col min="8" max="8" width="11.42578125" style="5"/>
    <col min="9" max="9" width="6.5703125" style="5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4" t="s">
        <v>121</v>
      </c>
      <c r="G1" s="8" t="s">
        <v>185</v>
      </c>
      <c r="H1" s="1" t="s">
        <v>186</v>
      </c>
      <c r="I1" s="1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2"/>
      <c r="D3" s="2"/>
      <c r="E3" s="2"/>
    </row>
    <row r="4" spans="1:10" x14ac:dyDescent="0.25">
      <c r="C4" s="2"/>
      <c r="D4" s="2"/>
      <c r="E4" s="2"/>
    </row>
    <row r="5" spans="1:10" x14ac:dyDescent="0.25">
      <c r="C5" s="2"/>
      <c r="D5" s="2"/>
      <c r="E5" s="2"/>
    </row>
    <row r="6" spans="1:10" x14ac:dyDescent="0.25">
      <c r="C6" s="2"/>
      <c r="D6" s="2"/>
      <c r="E6" s="2"/>
    </row>
    <row r="7" spans="1:10" x14ac:dyDescent="0.25">
      <c r="C7" s="2"/>
      <c r="D7" s="2"/>
      <c r="E7" s="2"/>
    </row>
    <row r="8" spans="1:10" x14ac:dyDescent="0.25">
      <c r="C8" s="2"/>
      <c r="D8" s="2"/>
      <c r="E8" s="2"/>
    </row>
    <row r="9" spans="1:10" x14ac:dyDescent="0.25">
      <c r="C9" s="2"/>
      <c r="D9" s="2"/>
      <c r="E9" s="2"/>
    </row>
    <row r="10" spans="1:10" x14ac:dyDescent="0.25">
      <c r="C10" s="2"/>
      <c r="D10" s="2"/>
      <c r="E10" s="2"/>
    </row>
    <row r="11" spans="1:10" x14ac:dyDescent="0.25">
      <c r="C11" s="2"/>
      <c r="D11" s="2"/>
      <c r="E11" s="2"/>
    </row>
    <row r="12" spans="1:10" x14ac:dyDescent="0.25">
      <c r="C12" s="2"/>
      <c r="D12" s="2"/>
      <c r="E12" s="2"/>
    </row>
    <row r="13" spans="1:10" x14ac:dyDescent="0.25">
      <c r="C13" s="2"/>
      <c r="D13" s="2"/>
      <c r="E13" s="2"/>
    </row>
    <row r="14" spans="1:10" x14ac:dyDescent="0.25">
      <c r="C14" s="2"/>
      <c r="D14" s="2"/>
      <c r="E14" s="2"/>
    </row>
    <row r="15" spans="1:10" x14ac:dyDescent="0.25">
      <c r="C15" s="2"/>
      <c r="D15" s="2"/>
      <c r="E15" s="2"/>
    </row>
    <row r="16" spans="1:10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17"/>
  <sheetViews>
    <sheetView workbookViewId="0">
      <pane xSplit="1" topLeftCell="B1" activePane="topRight" state="frozen"/>
      <selection activeCell="F37" sqref="F37"/>
      <selection pane="topRight" activeCell="D9" sqref="D9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10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29" customFormat="1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</row>
    <row r="2" spans="1:33" s="27" customFormat="1" x14ac:dyDescent="0.25">
      <c r="A2" s="28" t="s">
        <v>7</v>
      </c>
      <c r="B2" s="24" t="s">
        <v>458</v>
      </c>
      <c r="C2" s="24" t="s">
        <v>8</v>
      </c>
      <c r="D2" s="31" t="s">
        <v>9</v>
      </c>
      <c r="E2" s="25" t="s">
        <v>10</v>
      </c>
      <c r="F2" s="25" t="s">
        <v>11</v>
      </c>
      <c r="G2" s="25" t="s">
        <v>29</v>
      </c>
      <c r="H2" s="25" t="s">
        <v>30</v>
      </c>
      <c r="I2" s="25" t="s">
        <v>31</v>
      </c>
      <c r="J2" s="25" t="s">
        <v>32</v>
      </c>
      <c r="K2" s="25" t="s">
        <v>33</v>
      </c>
      <c r="L2" s="25" t="s">
        <v>34</v>
      </c>
      <c r="M2" s="25" t="s">
        <v>35</v>
      </c>
      <c r="N2" s="25" t="s">
        <v>36</v>
      </c>
      <c r="O2" s="25" t="s">
        <v>37</v>
      </c>
      <c r="P2" s="25" t="s">
        <v>38</v>
      </c>
      <c r="Q2" s="25" t="s">
        <v>39</v>
      </c>
      <c r="R2" s="25" t="s">
        <v>40</v>
      </c>
      <c r="S2" s="25" t="s">
        <v>41</v>
      </c>
      <c r="T2" s="25" t="s">
        <v>42</v>
      </c>
      <c r="U2" s="25" t="s">
        <v>43</v>
      </c>
      <c r="V2" s="25" t="s">
        <v>44</v>
      </c>
      <c r="W2" s="25" t="s">
        <v>45</v>
      </c>
      <c r="X2" s="26" t="s">
        <v>313</v>
      </c>
      <c r="Y2" s="26" t="s">
        <v>314</v>
      </c>
      <c r="Z2" s="26" t="s">
        <v>315</v>
      </c>
      <c r="AA2" s="26" t="s">
        <v>316</v>
      </c>
      <c r="AB2" s="26" t="s">
        <v>317</v>
      </c>
      <c r="AC2" s="26" t="s">
        <v>318</v>
      </c>
      <c r="AD2" s="26" t="s">
        <v>319</v>
      </c>
      <c r="AE2" s="26" t="s">
        <v>320</v>
      </c>
      <c r="AF2" s="26" t="s">
        <v>321</v>
      </c>
      <c r="AG2" s="26" t="s">
        <v>322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10" t="s">
        <v>489</v>
      </c>
      <c r="E3" t="s">
        <v>337</v>
      </c>
      <c r="F3" t="s">
        <v>335</v>
      </c>
      <c r="G3" t="s">
        <v>336</v>
      </c>
      <c r="H3" t="s">
        <v>338</v>
      </c>
      <c r="I3" s="9" t="s">
        <v>339</v>
      </c>
      <c r="J3" t="s">
        <v>243</v>
      </c>
      <c r="K3" t="s">
        <v>227</v>
      </c>
      <c r="L3" t="s">
        <v>227</v>
      </c>
      <c r="M3" t="s">
        <v>228</v>
      </c>
      <c r="N3" s="10" t="s">
        <v>229</v>
      </c>
      <c r="O3" s="9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</row>
    <row r="4" spans="1:33" x14ac:dyDescent="0.25">
      <c r="A4" t="s">
        <v>471</v>
      </c>
      <c r="B4" t="str">
        <f t="shared" ref="B4:B8" si="1">"EXPLORATION"</f>
        <v>EXPLORATION</v>
      </c>
      <c r="C4">
        <v>2</v>
      </c>
      <c r="D4" s="10" t="s">
        <v>488</v>
      </c>
      <c r="E4" t="s">
        <v>484</v>
      </c>
      <c r="I4" s="9"/>
      <c r="N4" s="10" t="s">
        <v>476</v>
      </c>
      <c r="O4" s="9"/>
    </row>
    <row r="5" spans="1:33" x14ac:dyDescent="0.25">
      <c r="A5" t="s">
        <v>479</v>
      </c>
      <c r="B5" t="str">
        <f t="shared" si="1"/>
        <v>EXPLORATION</v>
      </c>
      <c r="C5">
        <v>3</v>
      </c>
      <c r="D5" s="10" t="s">
        <v>490</v>
      </c>
      <c r="E5" t="s">
        <v>480</v>
      </c>
      <c r="I5" s="9"/>
      <c r="N5" s="10"/>
      <c r="O5" s="9"/>
    </row>
    <row r="6" spans="1:33" x14ac:dyDescent="0.25">
      <c r="A6" t="s">
        <v>481</v>
      </c>
      <c r="B6" t="str">
        <f t="shared" si="1"/>
        <v>EXPLORATION</v>
      </c>
      <c r="C6">
        <v>4</v>
      </c>
      <c r="D6" s="10" t="s">
        <v>491</v>
      </c>
      <c r="E6" t="s">
        <v>485</v>
      </c>
      <c r="I6" s="9"/>
      <c r="N6" s="10"/>
      <c r="O6" s="9"/>
    </row>
    <row r="7" spans="1:33" x14ac:dyDescent="0.25">
      <c r="A7" t="s">
        <v>482</v>
      </c>
      <c r="B7" t="str">
        <f t="shared" si="1"/>
        <v>EXPLORATION</v>
      </c>
      <c r="C7">
        <v>5</v>
      </c>
      <c r="D7" s="10" t="s">
        <v>492</v>
      </c>
      <c r="E7" t="s">
        <v>486</v>
      </c>
      <c r="I7" s="9"/>
      <c r="N7" s="10"/>
      <c r="O7" s="9"/>
    </row>
    <row r="8" spans="1:33" x14ac:dyDescent="0.25">
      <c r="A8" t="s">
        <v>483</v>
      </c>
      <c r="B8" t="str">
        <f t="shared" si="1"/>
        <v>EXPLORATION</v>
      </c>
      <c r="C8">
        <v>123</v>
      </c>
      <c r="D8" s="10" t="s">
        <v>493</v>
      </c>
      <c r="E8" t="s">
        <v>487</v>
      </c>
      <c r="I8" s="9"/>
      <c r="N8" s="10"/>
      <c r="O8" s="9"/>
    </row>
    <row r="9" spans="1:33" x14ac:dyDescent="0.25">
      <c r="A9" t="s">
        <v>497</v>
      </c>
      <c r="B9" s="33" t="str">
        <f>"EXPLORATION"</f>
        <v>EXPLORATION</v>
      </c>
      <c r="C9">
        <v>18</v>
      </c>
      <c r="D9" s="10" t="s">
        <v>494</v>
      </c>
      <c r="I9" s="9"/>
      <c r="N9" s="10"/>
      <c r="O9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4" spans="1:33" x14ac:dyDescent="0.25">
      <c r="I14" s="9"/>
      <c r="O14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16 X18:X1048576 X10:X12 X8 X5 X3" xr:uid="{7DA0F676-1112-4FDF-A639-37799EC1C942}">
      <formula1>FOOTNOTE_AUSWAHL</formula1>
    </dataValidation>
    <dataValidation type="list" allowBlank="1" showInputMessage="1" sqref="X17 X13:X15 X9 X4 Y3:AG1048576 X6:X7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H4" sqref="H4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x14ac:dyDescent="0.25">
      <c r="A2" s="12" t="s">
        <v>7</v>
      </c>
      <c r="B2" s="12" t="s">
        <v>13</v>
      </c>
      <c r="C2" s="12" t="s">
        <v>19</v>
      </c>
      <c r="D2" s="12" t="s">
        <v>24</v>
      </c>
      <c r="E2" s="12" t="s">
        <v>23</v>
      </c>
      <c r="F2" s="12" t="s">
        <v>458</v>
      </c>
      <c r="G2" s="12" t="s">
        <v>8</v>
      </c>
      <c r="H2" s="12" t="s">
        <v>75</v>
      </c>
      <c r="I2" s="12" t="s">
        <v>76</v>
      </c>
      <c r="J2" s="12" t="s">
        <v>77</v>
      </c>
      <c r="K2" s="12" t="s">
        <v>78</v>
      </c>
      <c r="L2" s="12" t="s">
        <v>79</v>
      </c>
      <c r="M2" s="12" t="s">
        <v>80</v>
      </c>
      <c r="N2" s="12" t="s">
        <v>81</v>
      </c>
      <c r="O2" s="12" t="s">
        <v>82</v>
      </c>
      <c r="P2" s="12" t="s">
        <v>84</v>
      </c>
      <c r="Q2" s="12" t="s">
        <v>85</v>
      </c>
      <c r="R2" s="12" t="s">
        <v>86</v>
      </c>
      <c r="S2" s="12" t="s">
        <v>87</v>
      </c>
      <c r="T2" s="12" t="s">
        <v>88</v>
      </c>
      <c r="U2" s="12" t="s">
        <v>89</v>
      </c>
      <c r="V2" s="12" t="s">
        <v>90</v>
      </c>
      <c r="W2" s="12" t="s">
        <v>91</v>
      </c>
      <c r="X2" s="12" t="s">
        <v>92</v>
      </c>
      <c r="Y2" s="12" t="s">
        <v>93</v>
      </c>
      <c r="Z2" s="12" t="s">
        <v>47</v>
      </c>
      <c r="AA2" s="12" t="s">
        <v>94</v>
      </c>
      <c r="AB2" s="12" t="s">
        <v>95</v>
      </c>
      <c r="AC2" s="12" t="s">
        <v>96</v>
      </c>
      <c r="AD2" s="12" t="s">
        <v>97</v>
      </c>
      <c r="AE2" s="12" t="s">
        <v>98</v>
      </c>
    </row>
    <row r="3" spans="1:31" x14ac:dyDescent="0.25">
      <c r="A3" t="str">
        <f>"SE"&amp;ROW()-1</f>
        <v>SE2</v>
      </c>
      <c r="B3" t="s">
        <v>0</v>
      </c>
      <c r="C3" t="s">
        <v>342</v>
      </c>
      <c r="E3" t="s">
        <v>469</v>
      </c>
      <c r="F3" t="str">
        <f>"LAYER"</f>
        <v>LAYER</v>
      </c>
      <c r="G3">
        <v>1</v>
      </c>
      <c r="H3" t="s">
        <v>231</v>
      </c>
      <c r="I3" t="s">
        <v>189</v>
      </c>
      <c r="J3" t="s">
        <v>310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449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Deckschicht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450</v>
      </c>
      <c r="AC3" t="s">
        <v>450</v>
      </c>
      <c r="AD3" t="s">
        <v>220</v>
      </c>
      <c r="AE3" t="s">
        <v>450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468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310</v>
      </c>
      <c r="L4">
        <v>3</v>
      </c>
      <c r="M4" t="e">
        <f ca="1">Erkundungsstelle.Sample.Table[[#This Row],[TIEFE_ENDE]]-Erkundungsstelle.Sample.Table[[#This Row],[DICKE]]</f>
        <v>#VALUE!</v>
      </c>
      <c r="N4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4" t="s">
        <v>191</v>
      </c>
      <c r="P4" t="s">
        <v>233</v>
      </c>
      <c r="Q4" t="s">
        <v>442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451</v>
      </c>
      <c r="AC4" t="s">
        <v>451</v>
      </c>
      <c r="AD4" t="s">
        <v>191</v>
      </c>
      <c r="AE4" t="s">
        <v>451</v>
      </c>
    </row>
  </sheetData>
  <mergeCells count="1">
    <mergeCell ref="B1:AE1"/>
  </mergeCells>
  <phoneticPr fontId="1" type="noConversion"/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I2" sqref="I2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1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3" t="s">
        <v>7</v>
      </c>
      <c r="B1" s="13" t="s">
        <v>458</v>
      </c>
      <c r="C1" s="13" t="s">
        <v>8</v>
      </c>
      <c r="D1" s="22" t="s">
        <v>9</v>
      </c>
      <c r="E1" s="14" t="s">
        <v>10</v>
      </c>
      <c r="F1" s="14" t="s">
        <v>11</v>
      </c>
      <c r="G1" s="14" t="s">
        <v>29</v>
      </c>
      <c r="H1" s="14" t="s">
        <v>30</v>
      </c>
      <c r="I1" s="14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10" t="s">
        <v>488</v>
      </c>
      <c r="E2" t="s">
        <v>345</v>
      </c>
      <c r="F2" t="s">
        <v>335</v>
      </c>
      <c r="G2" t="s">
        <v>346</v>
      </c>
      <c r="H2" t="s">
        <v>338</v>
      </c>
      <c r="I2" s="9" t="s">
        <v>339</v>
      </c>
    </row>
    <row r="3" spans="1:9" x14ac:dyDescent="0.25"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G2" sqref="G2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3" t="s">
        <v>7</v>
      </c>
      <c r="B1" s="13" t="s">
        <v>13</v>
      </c>
      <c r="C1" s="13" t="s">
        <v>19</v>
      </c>
      <c r="D1" s="13" t="s">
        <v>458</v>
      </c>
      <c r="E1" s="13" t="s">
        <v>8</v>
      </c>
      <c r="F1" s="13" t="s">
        <v>75</v>
      </c>
      <c r="G1" s="13" t="s">
        <v>76</v>
      </c>
      <c r="H1" s="15" t="s">
        <v>77</v>
      </c>
      <c r="I1" s="13" t="s">
        <v>93</v>
      </c>
      <c r="J1" s="13" t="s">
        <v>100</v>
      </c>
      <c r="K1" s="13" t="s">
        <v>101</v>
      </c>
      <c r="L1" s="13" t="s">
        <v>92</v>
      </c>
      <c r="M1" s="13" t="s">
        <v>85</v>
      </c>
      <c r="N1" s="13" t="s">
        <v>47</v>
      </c>
      <c r="O1" s="15" t="s">
        <v>78</v>
      </c>
      <c r="P1" s="13" t="s">
        <v>82</v>
      </c>
      <c r="Q1" s="13" t="s">
        <v>86</v>
      </c>
      <c r="R1" s="13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344</v>
      </c>
      <c r="H2" s="10" t="s">
        <v>343</v>
      </c>
      <c r="I2" t="s">
        <v>347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232</v>
      </c>
      <c r="M2" t="s">
        <v>348</v>
      </c>
      <c r="N2" t="s">
        <v>303</v>
      </c>
      <c r="Q2" t="s">
        <v>234</v>
      </c>
      <c r="R2" t="s">
        <v>349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342</v>
      </c>
      <c r="D3" t="str">
        <f>"PIECE"</f>
        <v>PIECE</v>
      </c>
      <c r="E3">
        <v>2</v>
      </c>
      <c r="F3" t="str">
        <f t="shared" si="0"/>
        <v>HAUFWERK</v>
      </c>
      <c r="G3" t="s">
        <v>443</v>
      </c>
      <c r="H3" s="10" t="s">
        <v>445</v>
      </c>
      <c r="I3" t="s">
        <v>443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442</v>
      </c>
      <c r="N3" t="s">
        <v>446</v>
      </c>
      <c r="O3" s="10" t="s">
        <v>447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E2" sqref="E2:E3"/>
    </sheetView>
  </sheetViews>
  <sheetFormatPr baseColWidth="10" defaultColWidth="11.42578125" defaultRowHeight="15" x14ac:dyDescent="0.25"/>
  <cols>
    <col min="1" max="1" width="5.140625" bestFit="1" customWidth="1"/>
    <col min="2" max="2" width="10.42578125" customWidth="1"/>
    <col min="3" max="3" width="12" bestFit="1" customWidth="1"/>
    <col min="4" max="4" width="17.28515625" style="21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458</v>
      </c>
      <c r="C1" s="11" t="s">
        <v>8</v>
      </c>
      <c r="D1" s="23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299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444</v>
      </c>
      <c r="B2" t="str">
        <f t="shared" ref="B2:B3" si="0">"BUILDING"</f>
        <v>BUILDING</v>
      </c>
      <c r="C2">
        <v>0</v>
      </c>
      <c r="D2" s="30">
        <v>45249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30">
        <v>44959</v>
      </c>
      <c r="E3" t="s">
        <v>352</v>
      </c>
      <c r="F3" t="s">
        <v>295</v>
      </c>
      <c r="H3" t="s">
        <v>353</v>
      </c>
      <c r="I3" t="s">
        <v>352</v>
      </c>
      <c r="J3" t="s">
        <v>354</v>
      </c>
      <c r="L3" t="s">
        <v>409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N2" sqref="N2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9" t="s">
        <v>7</v>
      </c>
      <c r="B1" s="17" t="s">
        <v>13</v>
      </c>
      <c r="C1" s="18" t="s">
        <v>19</v>
      </c>
      <c r="D1" s="19" t="s">
        <v>458</v>
      </c>
      <c r="E1" s="19" t="s">
        <v>8</v>
      </c>
      <c r="F1" s="19" t="s">
        <v>75</v>
      </c>
      <c r="G1" s="19" t="s">
        <v>99</v>
      </c>
      <c r="H1" s="19" t="s">
        <v>85</v>
      </c>
      <c r="I1" s="19" t="s">
        <v>79</v>
      </c>
      <c r="J1" s="19" t="s">
        <v>80</v>
      </c>
      <c r="K1" s="19" t="s">
        <v>81</v>
      </c>
      <c r="L1" s="19" t="s">
        <v>51</v>
      </c>
      <c r="M1" s="19" t="s">
        <v>433</v>
      </c>
      <c r="N1" s="19" t="s">
        <v>102</v>
      </c>
      <c r="O1" s="20" t="s">
        <v>103</v>
      </c>
      <c r="P1" s="18" t="s">
        <v>301</v>
      </c>
    </row>
    <row r="2" spans="1:16" x14ac:dyDescent="0.25">
      <c r="A2" t="str">
        <f t="shared" ref="A2:A3" si="0">"SB"&amp;ROW()-1</f>
        <v>SB1</v>
      </c>
      <c r="B2" t="s">
        <v>444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342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DBDA-DF5C-43B5-A6FD-6B63920555F0}">
  <sheetPr>
    <tabColor theme="1"/>
  </sheetPr>
  <dimension ref="A1:DQ13"/>
  <sheetViews>
    <sheetView tabSelected="1" workbookViewId="0">
      <selection activeCell="F9" sqref="F9"/>
    </sheetView>
  </sheetViews>
  <sheetFormatPr baseColWidth="10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3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bestFit="1" customWidth="1"/>
    <col min="71" max="71" width="19.710937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0.42578125" bestFit="1" customWidth="1"/>
    <col min="107" max="107" width="18.42578125" bestFit="1" customWidth="1"/>
    <col min="108" max="108" width="17" bestFit="1" customWidth="1"/>
    <col min="109" max="109" width="27.7109375" bestFit="1" customWidth="1"/>
    <col min="110" max="110" width="17.140625" bestFit="1" customWidth="1"/>
    <col min="111" max="111" width="26" bestFit="1" customWidth="1"/>
    <col min="112" max="112" width="19.42578125" bestFit="1" customWidth="1"/>
    <col min="113" max="114" width="15.42578125" bestFit="1" customWidth="1"/>
    <col min="115" max="116" width="20.140625" bestFit="1" customWidth="1"/>
    <col min="117" max="117" width="21.42578125" bestFit="1" customWidth="1"/>
    <col min="118" max="118" width="31.140625" bestFit="1" customWidth="1"/>
    <col min="119" max="119" width="32.28515625" bestFit="1" customWidth="1"/>
    <col min="120" max="120" width="38.5703125" bestFit="1" customWidth="1"/>
    <col min="121" max="121" width="37.85546875" bestFit="1" customWidth="1"/>
  </cols>
  <sheetData>
    <row r="1" spans="1:121" x14ac:dyDescent="0.25">
      <c r="A1" t="s">
        <v>13</v>
      </c>
      <c r="B1" t="s">
        <v>461</v>
      </c>
      <c r="C1" t="s">
        <v>14</v>
      </c>
      <c r="D1" s="3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323</v>
      </c>
      <c r="Y1" t="s">
        <v>324</v>
      </c>
      <c r="Z1" t="s">
        <v>325</v>
      </c>
      <c r="AA1" t="s">
        <v>326</v>
      </c>
      <c r="AB1" t="s">
        <v>327</v>
      </c>
      <c r="AC1" t="s">
        <v>328</v>
      </c>
      <c r="AD1" t="s">
        <v>329</v>
      </c>
      <c r="AE1" t="s">
        <v>330</v>
      </c>
      <c r="AF1" t="s">
        <v>331</v>
      </c>
      <c r="AG1" t="s">
        <v>332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305</v>
      </c>
      <c r="BT1" t="s">
        <v>306</v>
      </c>
      <c r="BU1" t="s">
        <v>307</v>
      </c>
      <c r="BV1" t="s">
        <v>308</v>
      </c>
      <c r="BW1" t="s">
        <v>28</v>
      </c>
      <c r="BX1" t="s">
        <v>170</v>
      </c>
      <c r="BY1" t="s">
        <v>171</v>
      </c>
      <c r="BZ1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334</v>
      </c>
      <c r="CK1" t="s">
        <v>179</v>
      </c>
      <c r="CL1" t="s">
        <v>439</v>
      </c>
      <c r="CM1" t="s">
        <v>440</v>
      </c>
      <c r="CN1" t="s">
        <v>180</v>
      </c>
      <c r="CO1" t="s">
        <v>183</v>
      </c>
      <c r="CP1" t="s">
        <v>435</v>
      </c>
      <c r="CQ1" t="s">
        <v>436</v>
      </c>
      <c r="CR1" t="s">
        <v>156</v>
      </c>
      <c r="CS1" t="s">
        <v>157</v>
      </c>
      <c r="CT1" t="s">
        <v>333</v>
      </c>
      <c r="CU1" t="s">
        <v>158</v>
      </c>
      <c r="CV1" t="s">
        <v>159</v>
      </c>
      <c r="CW1" t="s">
        <v>160</v>
      </c>
      <c r="CX1" t="s">
        <v>161</v>
      </c>
      <c r="CY1" t="s">
        <v>351</v>
      </c>
      <c r="CZ1" t="s">
        <v>455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304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434</v>
      </c>
      <c r="DO1" t="s">
        <v>151</v>
      </c>
      <c r="DP1" t="s">
        <v>152</v>
      </c>
      <c r="DQ1" t="s">
        <v>302</v>
      </c>
    </row>
    <row r="2" spans="1:121" x14ac:dyDescent="0.25">
      <c r="A2" t="s">
        <v>0</v>
      </c>
      <c r="B2" t="s">
        <v>464</v>
      </c>
      <c r="C2">
        <v>1</v>
      </c>
      <c r="D2" s="33" t="s">
        <v>489</v>
      </c>
      <c r="E2" t="s">
        <v>337</v>
      </c>
      <c r="F2" t="s">
        <v>335</v>
      </c>
      <c r="G2" t="s">
        <v>336</v>
      </c>
      <c r="H2" t="s">
        <v>338</v>
      </c>
      <c r="I2" t="s">
        <v>339</v>
      </c>
      <c r="J2" t="s">
        <v>243</v>
      </c>
      <c r="K2" t="s">
        <v>227</v>
      </c>
      <c r="L2" t="s">
        <v>227</v>
      </c>
      <c r="M2" t="s">
        <v>228</v>
      </c>
      <c r="N2" t="s">
        <v>229</v>
      </c>
      <c r="O2" t="s">
        <v>340</v>
      </c>
      <c r="P2" t="s">
        <v>230</v>
      </c>
      <c r="Q2" t="s">
        <v>230</v>
      </c>
      <c r="R2" t="s">
        <v>230</v>
      </c>
      <c r="S2">
        <v>10</v>
      </c>
      <c r="T2" t="s">
        <v>341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475</v>
      </c>
      <c r="AI2" t="s">
        <v>0</v>
      </c>
      <c r="AJ2" t="s">
        <v>3</v>
      </c>
      <c r="AK2" t="s">
        <v>468</v>
      </c>
      <c r="AM2" t="s">
        <v>460</v>
      </c>
      <c r="AN2">
        <v>2</v>
      </c>
      <c r="AO2" t="s">
        <v>190</v>
      </c>
      <c r="AP2" t="s">
        <v>189</v>
      </c>
      <c r="AQ2" t="s">
        <v>310</v>
      </c>
      <c r="AS2">
        <v>3</v>
      </c>
      <c r="AV2" t="s">
        <v>191</v>
      </c>
      <c r="AW2" t="s">
        <v>233</v>
      </c>
      <c r="AX2" t="s">
        <v>442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448</v>
      </c>
      <c r="BG2" t="s">
        <v>303</v>
      </c>
      <c r="BH2">
        <v>2</v>
      </c>
      <c r="BI2" t="s">
        <v>451</v>
      </c>
      <c r="BJ2" t="s">
        <v>451</v>
      </c>
      <c r="BK2" t="s">
        <v>191</v>
      </c>
      <c r="BL2" t="s">
        <v>451</v>
      </c>
      <c r="BW2" t="s">
        <v>468</v>
      </c>
      <c r="BX2">
        <v>1</v>
      </c>
      <c r="BY2" t="s">
        <v>6</v>
      </c>
      <c r="BZ2">
        <v>77</v>
      </c>
      <c r="CA2" s="33" t="s">
        <v>3</v>
      </c>
      <c r="CB2" s="33" t="s">
        <v>237</v>
      </c>
      <c r="CC2" s="33"/>
      <c r="CD2" s="33" t="s">
        <v>241</v>
      </c>
      <c r="CE2" s="33"/>
      <c r="CF2" s="33"/>
      <c r="CG2" s="33" t="s">
        <v>478</v>
      </c>
      <c r="CH2" s="33" t="s">
        <v>478</v>
      </c>
      <c r="CI2" s="33" t="s">
        <v>478</v>
      </c>
      <c r="CJ2" s="33" t="s">
        <v>478</v>
      </c>
      <c r="CK2" s="33" t="s">
        <v>478</v>
      </c>
      <c r="CL2" s="33" t="s">
        <v>478</v>
      </c>
      <c r="CM2" s="33" t="s">
        <v>478</v>
      </c>
      <c r="CN2" s="33" t="s">
        <v>478</v>
      </c>
      <c r="CO2" s="33" t="s">
        <v>403</v>
      </c>
      <c r="CP2" s="33" t="s">
        <v>478</v>
      </c>
      <c r="CQ2" s="33" t="s">
        <v>478</v>
      </c>
      <c r="CR2" s="33" t="s">
        <v>221</v>
      </c>
      <c r="CS2" s="33" t="s">
        <v>221</v>
      </c>
      <c r="CT2" s="33" t="s">
        <v>239</v>
      </c>
      <c r="CU2" s="33" t="s">
        <v>267</v>
      </c>
      <c r="CV2" s="33" t="s">
        <v>477</v>
      </c>
      <c r="CW2" s="33" t="s">
        <v>470</v>
      </c>
      <c r="CX2" s="33" t="s">
        <v>5</v>
      </c>
      <c r="CY2" s="33" t="s">
        <v>478</v>
      </c>
      <c r="DA2" s="33" t="s">
        <v>239</v>
      </c>
      <c r="DP2" s="33"/>
      <c r="DQ2" s="33"/>
    </row>
    <row r="3" spans="1:121" x14ac:dyDescent="0.25">
      <c r="A3" t="s">
        <v>0</v>
      </c>
      <c r="B3" t="s">
        <v>464</v>
      </c>
      <c r="C3">
        <v>1</v>
      </c>
      <c r="D3" s="33" t="s">
        <v>489</v>
      </c>
      <c r="E3" t="s">
        <v>337</v>
      </c>
      <c r="F3" t="s">
        <v>335</v>
      </c>
      <c r="G3" t="s">
        <v>336</v>
      </c>
      <c r="H3" t="s">
        <v>338</v>
      </c>
      <c r="I3" t="s">
        <v>339</v>
      </c>
      <c r="J3" t="s">
        <v>243</v>
      </c>
      <c r="K3" t="s">
        <v>227</v>
      </c>
      <c r="L3" t="s">
        <v>227</v>
      </c>
      <c r="M3" t="s">
        <v>228</v>
      </c>
      <c r="N3" t="s">
        <v>229</v>
      </c>
      <c r="O3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453</v>
      </c>
      <c r="AI3" t="s">
        <v>0</v>
      </c>
      <c r="AJ3" t="s">
        <v>342</v>
      </c>
      <c r="AL3" t="s">
        <v>469</v>
      </c>
      <c r="AM3" t="s">
        <v>460</v>
      </c>
      <c r="AN3">
        <v>1</v>
      </c>
      <c r="AO3" t="s">
        <v>231</v>
      </c>
      <c r="AP3" t="s">
        <v>189</v>
      </c>
      <c r="AQ3" t="s">
        <v>310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449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189</v>
      </c>
      <c r="BG3" t="s">
        <v>403</v>
      </c>
      <c r="BH3">
        <v>1</v>
      </c>
      <c r="BI3" t="s">
        <v>450</v>
      </c>
      <c r="BJ3" t="s">
        <v>450</v>
      </c>
      <c r="BK3" t="s">
        <v>220</v>
      </c>
      <c r="BL3" t="s">
        <v>450</v>
      </c>
      <c r="BM3" t="s">
        <v>469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>
        <v>48</v>
      </c>
      <c r="BU3">
        <v>87</v>
      </c>
      <c r="BV3">
        <v>120</v>
      </c>
      <c r="CA3" s="33" t="s">
        <v>342</v>
      </c>
      <c r="CB3" s="33" t="s">
        <v>4</v>
      </c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 t="s">
        <v>223</v>
      </c>
      <c r="CX3" s="33"/>
      <c r="CY3" s="33"/>
      <c r="DA3" s="33"/>
      <c r="DP3" s="33"/>
      <c r="DQ3" s="33"/>
    </row>
    <row r="4" spans="1:121" x14ac:dyDescent="0.25">
      <c r="A4" t="s">
        <v>471</v>
      </c>
      <c r="B4" t="s">
        <v>464</v>
      </c>
      <c r="C4">
        <v>2</v>
      </c>
      <c r="D4" s="33" t="s">
        <v>488</v>
      </c>
      <c r="E4" t="s">
        <v>484</v>
      </c>
      <c r="N4" t="s">
        <v>476</v>
      </c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DA4" s="33"/>
      <c r="DP4" s="33"/>
      <c r="DQ4" s="33"/>
    </row>
    <row r="5" spans="1:121" x14ac:dyDescent="0.25">
      <c r="A5" t="s">
        <v>479</v>
      </c>
      <c r="B5" t="s">
        <v>464</v>
      </c>
      <c r="C5">
        <v>3</v>
      </c>
      <c r="D5" s="33" t="s">
        <v>490</v>
      </c>
      <c r="E5" t="s">
        <v>480</v>
      </c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DA5" s="33"/>
      <c r="DP5" s="33"/>
      <c r="DQ5" s="33"/>
    </row>
    <row r="6" spans="1:121" x14ac:dyDescent="0.25">
      <c r="A6" t="s">
        <v>481</v>
      </c>
      <c r="B6" t="s">
        <v>464</v>
      </c>
      <c r="C6">
        <v>4</v>
      </c>
      <c r="D6" s="33" t="s">
        <v>491</v>
      </c>
      <c r="E6" t="s">
        <v>485</v>
      </c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DA6" s="33"/>
      <c r="DP6" s="33"/>
      <c r="DQ6" s="33"/>
    </row>
    <row r="7" spans="1:121" x14ac:dyDescent="0.25">
      <c r="A7" t="s">
        <v>482</v>
      </c>
      <c r="B7" t="s">
        <v>464</v>
      </c>
      <c r="C7">
        <v>5</v>
      </c>
      <c r="D7" s="33" t="s">
        <v>492</v>
      </c>
      <c r="E7" t="s">
        <v>486</v>
      </c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DA7" s="33"/>
      <c r="DP7" s="33"/>
      <c r="DQ7" s="33"/>
    </row>
    <row r="8" spans="1:121" x14ac:dyDescent="0.25">
      <c r="A8" t="s">
        <v>497</v>
      </c>
      <c r="B8" t="s">
        <v>464</v>
      </c>
      <c r="C8">
        <v>18</v>
      </c>
      <c r="D8" s="33" t="s">
        <v>494</v>
      </c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DA8" s="33"/>
      <c r="DP8" s="33"/>
      <c r="DQ8" s="33"/>
    </row>
    <row r="9" spans="1:121" x14ac:dyDescent="0.25">
      <c r="A9" t="s">
        <v>483</v>
      </c>
      <c r="B9" t="s">
        <v>464</v>
      </c>
      <c r="C9">
        <v>123</v>
      </c>
      <c r="D9" s="33" t="s">
        <v>493</v>
      </c>
      <c r="E9" t="s">
        <v>487</v>
      </c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DA9" s="33"/>
      <c r="DP9" s="33"/>
      <c r="DQ9" s="33"/>
    </row>
    <row r="10" spans="1:121" x14ac:dyDescent="0.25">
      <c r="A10" t="s">
        <v>1</v>
      </c>
      <c r="B10" t="s">
        <v>459</v>
      </c>
      <c r="C10">
        <v>1</v>
      </c>
      <c r="D10" s="33" t="s">
        <v>488</v>
      </c>
      <c r="E10" t="s">
        <v>345</v>
      </c>
      <c r="F10" t="s">
        <v>335</v>
      </c>
      <c r="G10" t="s">
        <v>346</v>
      </c>
      <c r="H10" t="s">
        <v>338</v>
      </c>
      <c r="I10" t="s">
        <v>339</v>
      </c>
      <c r="AH10" t="s">
        <v>452</v>
      </c>
      <c r="AI10" t="s">
        <v>1</v>
      </c>
      <c r="AJ10" t="s">
        <v>342</v>
      </c>
      <c r="AM10" t="s">
        <v>465</v>
      </c>
      <c r="AN10">
        <v>2</v>
      </c>
      <c r="AO10" t="s">
        <v>312</v>
      </c>
      <c r="AP10" t="s">
        <v>443</v>
      </c>
      <c r="AQ10" t="s">
        <v>445</v>
      </c>
      <c r="AR10" t="s">
        <v>447</v>
      </c>
      <c r="AV10" t="s">
        <v>220</v>
      </c>
      <c r="AX10" t="s">
        <v>442</v>
      </c>
      <c r="AY10" t="s">
        <v>263</v>
      </c>
      <c r="BE10" t="s">
        <v>215</v>
      </c>
      <c r="BF10" t="s">
        <v>443</v>
      </c>
      <c r="BG10" t="s">
        <v>446</v>
      </c>
      <c r="CA10" s="33" t="s">
        <v>342</v>
      </c>
      <c r="CB10" s="33" t="s">
        <v>4</v>
      </c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 t="s">
        <v>223</v>
      </c>
      <c r="CX10" s="33"/>
      <c r="CY10" s="33"/>
      <c r="DA10" s="33"/>
      <c r="DB10">
        <v>250</v>
      </c>
      <c r="DC10">
        <v>7</v>
      </c>
      <c r="DP10" s="33"/>
      <c r="DQ10" s="33"/>
    </row>
    <row r="11" spans="1:121" x14ac:dyDescent="0.25">
      <c r="A11" t="s">
        <v>1</v>
      </c>
      <c r="B11" t="s">
        <v>459</v>
      </c>
      <c r="C11">
        <v>1</v>
      </c>
      <c r="D11" s="33" t="s">
        <v>488</v>
      </c>
      <c r="E11" t="s">
        <v>345</v>
      </c>
      <c r="F11" t="s">
        <v>335</v>
      </c>
      <c r="G11" t="s">
        <v>346</v>
      </c>
      <c r="H11" t="s">
        <v>338</v>
      </c>
      <c r="I11" t="s">
        <v>339</v>
      </c>
      <c r="AH11" t="s">
        <v>441</v>
      </c>
      <c r="AI11" t="s">
        <v>1</v>
      </c>
      <c r="AJ11" t="s">
        <v>3</v>
      </c>
      <c r="AM11" t="s">
        <v>465</v>
      </c>
      <c r="AN11">
        <v>1</v>
      </c>
      <c r="AO11" t="s">
        <v>312</v>
      </c>
      <c r="AP11" t="s">
        <v>344</v>
      </c>
      <c r="AQ11" t="s">
        <v>343</v>
      </c>
      <c r="AX11" t="s">
        <v>348</v>
      </c>
      <c r="AY11" t="s">
        <v>234</v>
      </c>
      <c r="BD11" t="s">
        <v>349</v>
      </c>
      <c r="BE11" t="s">
        <v>232</v>
      </c>
      <c r="BF11" t="s">
        <v>347</v>
      </c>
      <c r="BG11" t="s">
        <v>303</v>
      </c>
      <c r="CA11" s="33" t="s">
        <v>3</v>
      </c>
      <c r="CB11" s="33" t="s">
        <v>237</v>
      </c>
      <c r="CC11" s="33"/>
      <c r="CD11" s="33" t="s">
        <v>241</v>
      </c>
      <c r="CE11" s="33"/>
      <c r="CF11" s="33"/>
      <c r="CG11" s="33" t="s">
        <v>478</v>
      </c>
      <c r="CH11" s="33" t="s">
        <v>478</v>
      </c>
      <c r="CI11" s="33" t="s">
        <v>478</v>
      </c>
      <c r="CJ11" s="33" t="s">
        <v>478</v>
      </c>
      <c r="CK11" s="33" t="s">
        <v>478</v>
      </c>
      <c r="CL11" s="33" t="s">
        <v>478</v>
      </c>
      <c r="CM11" s="33" t="s">
        <v>478</v>
      </c>
      <c r="CN11" s="33" t="s">
        <v>478</v>
      </c>
      <c r="CO11" s="33" t="s">
        <v>403</v>
      </c>
      <c r="CP11" s="33" t="s">
        <v>478</v>
      </c>
      <c r="CQ11" s="33" t="s">
        <v>478</v>
      </c>
      <c r="CR11" s="33" t="s">
        <v>221</v>
      </c>
      <c r="CS11" s="33" t="s">
        <v>221</v>
      </c>
      <c r="CT11" s="33" t="s">
        <v>239</v>
      </c>
      <c r="CU11" s="33" t="s">
        <v>267</v>
      </c>
      <c r="CV11" s="33" t="s">
        <v>477</v>
      </c>
      <c r="CW11" s="33" t="s">
        <v>470</v>
      </c>
      <c r="CX11" s="33" t="s">
        <v>5</v>
      </c>
      <c r="CY11" s="33" t="s">
        <v>478</v>
      </c>
      <c r="DA11" s="33" t="s">
        <v>239</v>
      </c>
      <c r="DB11">
        <v>250</v>
      </c>
      <c r="DC11">
        <v>7</v>
      </c>
      <c r="DP11" s="33"/>
      <c r="DQ11" s="33"/>
    </row>
    <row r="12" spans="1:121" x14ac:dyDescent="0.25">
      <c r="A12" t="s">
        <v>444</v>
      </c>
      <c r="B12" t="s">
        <v>463</v>
      </c>
      <c r="C12">
        <v>0</v>
      </c>
      <c r="D12" s="33" t="s">
        <v>495</v>
      </c>
      <c r="AH12" t="s">
        <v>466</v>
      </c>
      <c r="AI12" t="s">
        <v>444</v>
      </c>
      <c r="AM12" t="s">
        <v>460</v>
      </c>
      <c r="AN12">
        <v>1</v>
      </c>
      <c r="AO12" t="s">
        <v>299</v>
      </c>
      <c r="AS12">
        <v>2</v>
      </c>
      <c r="AT12">
        <v>0</v>
      </c>
      <c r="AU12">
        <v>2</v>
      </c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DA12" s="33"/>
      <c r="DP12" s="33"/>
      <c r="DQ12" s="33"/>
    </row>
    <row r="13" spans="1:121" x14ac:dyDescent="0.25">
      <c r="A13" t="s">
        <v>2</v>
      </c>
      <c r="B13" t="s">
        <v>463</v>
      </c>
      <c r="C13">
        <v>1</v>
      </c>
      <c r="D13" s="33" t="s">
        <v>496</v>
      </c>
      <c r="AH13" t="s">
        <v>467</v>
      </c>
      <c r="AI13" t="s">
        <v>2</v>
      </c>
      <c r="AJ13" t="s">
        <v>342</v>
      </c>
      <c r="AM13" t="s">
        <v>460</v>
      </c>
      <c r="AN13">
        <v>1</v>
      </c>
      <c r="AO13" t="s">
        <v>299</v>
      </c>
      <c r="AS13">
        <v>3</v>
      </c>
      <c r="AT13">
        <v>0</v>
      </c>
      <c r="AU13">
        <v>3</v>
      </c>
      <c r="CA13" s="33" t="s">
        <v>342</v>
      </c>
      <c r="CB13" s="33" t="s">
        <v>4</v>
      </c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 t="s">
        <v>223</v>
      </c>
      <c r="CX13" s="33"/>
      <c r="CY13" s="33"/>
      <c r="DA13" s="33"/>
      <c r="DD13" t="s">
        <v>352</v>
      </c>
      <c r="DE13" t="s">
        <v>295</v>
      </c>
      <c r="DG13" t="s">
        <v>353</v>
      </c>
      <c r="DH13" t="s">
        <v>352</v>
      </c>
      <c r="DI13" t="s">
        <v>354</v>
      </c>
      <c r="DK13" t="s">
        <v>409</v>
      </c>
      <c r="DP13" s="33"/>
      <c r="DQ13" s="33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F1" workbookViewId="0">
      <selection activeCell="M2" sqref="M2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0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0" customWidth="1"/>
    <col min="31" max="31" width="16.7109375" customWidth="1"/>
    <col min="32" max="32" width="20.140625" customWidth="1"/>
  </cols>
  <sheetData>
    <row r="1" spans="1:33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6" t="s">
        <v>212</v>
      </c>
      <c r="V1" s="7" t="s">
        <v>213</v>
      </c>
      <c r="W1" s="7" t="s">
        <v>214</v>
      </c>
      <c r="X1" s="7" t="s">
        <v>311</v>
      </c>
      <c r="Y1" s="7" t="s">
        <v>387</v>
      </c>
      <c r="Z1" s="7" t="s">
        <v>388</v>
      </c>
      <c r="AA1" s="7" t="s">
        <v>384</v>
      </c>
      <c r="AB1" s="7" t="s">
        <v>377</v>
      </c>
      <c r="AC1" s="7" t="s">
        <v>389</v>
      </c>
      <c r="AD1" s="16" t="s">
        <v>390</v>
      </c>
      <c r="AE1" s="7" t="s">
        <v>106</v>
      </c>
      <c r="AF1" s="7" t="s">
        <v>176</v>
      </c>
      <c r="AG1" s="7" t="s">
        <v>402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477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10" t="s">
        <v>229</v>
      </c>
      <c r="V2" t="s">
        <v>230</v>
      </c>
      <c r="W2" t="s">
        <v>298</v>
      </c>
      <c r="X2" t="s">
        <v>6</v>
      </c>
      <c r="Y2" t="s">
        <v>357</v>
      </c>
      <c r="Z2" t="s">
        <v>295</v>
      </c>
      <c r="AA2" t="s">
        <v>373</v>
      </c>
      <c r="AB2" t="s">
        <v>378</v>
      </c>
      <c r="AC2" t="s">
        <v>408</v>
      </c>
      <c r="AD2" s="10" t="s">
        <v>365</v>
      </c>
      <c r="AE2" t="s">
        <v>5</v>
      </c>
      <c r="AF2" t="s">
        <v>224</v>
      </c>
      <c r="AG2" t="s">
        <v>403</v>
      </c>
    </row>
    <row r="3" spans="1:33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470</v>
      </c>
      <c r="N3" t="s">
        <v>470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10">
        <v>0.3</v>
      </c>
      <c r="V3" t="s">
        <v>246</v>
      </c>
      <c r="W3" t="s">
        <v>259</v>
      </c>
      <c r="X3" t="s">
        <v>309</v>
      </c>
      <c r="Y3" t="s">
        <v>360</v>
      </c>
      <c r="Z3" t="s">
        <v>356</v>
      </c>
      <c r="AA3" t="s">
        <v>374</v>
      </c>
      <c r="AB3" t="s">
        <v>379</v>
      </c>
      <c r="AC3" t="s">
        <v>409</v>
      </c>
      <c r="AD3" s="10" t="s">
        <v>399</v>
      </c>
      <c r="AE3" t="s">
        <v>239</v>
      </c>
      <c r="AF3" t="s">
        <v>241</v>
      </c>
      <c r="AG3" t="s">
        <v>404</v>
      </c>
    </row>
    <row r="4" spans="1:33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407</v>
      </c>
      <c r="I4" t="s">
        <v>254</v>
      </c>
      <c r="J4" t="s">
        <v>254</v>
      </c>
      <c r="L4" t="s">
        <v>255</v>
      </c>
      <c r="M4" t="s">
        <v>472</v>
      </c>
      <c r="N4" t="s">
        <v>472</v>
      </c>
      <c r="Q4" t="s">
        <v>256</v>
      </c>
      <c r="R4" t="s">
        <v>227</v>
      </c>
      <c r="S4" t="s">
        <v>226</v>
      </c>
      <c r="T4" t="s">
        <v>257</v>
      </c>
      <c r="U4" s="10" t="s">
        <v>476</v>
      </c>
      <c r="V4" t="s">
        <v>258</v>
      </c>
      <c r="W4" t="s">
        <v>270</v>
      </c>
      <c r="Y4" t="s">
        <v>359</v>
      </c>
      <c r="Z4" t="s">
        <v>372</v>
      </c>
      <c r="AA4" t="s">
        <v>375</v>
      </c>
      <c r="AB4" t="s">
        <v>358</v>
      </c>
      <c r="AC4" t="s">
        <v>410</v>
      </c>
      <c r="AD4" s="10" t="s">
        <v>366</v>
      </c>
    </row>
    <row r="5" spans="1:33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432</v>
      </c>
      <c r="I5" t="s">
        <v>266</v>
      </c>
      <c r="J5" t="s">
        <v>266</v>
      </c>
      <c r="L5" t="s">
        <v>267</v>
      </c>
      <c r="M5" t="s">
        <v>473</v>
      </c>
      <c r="Q5" t="s">
        <v>268</v>
      </c>
      <c r="S5" t="s">
        <v>243</v>
      </c>
      <c r="U5" s="10">
        <v>1.8</v>
      </c>
      <c r="V5" t="s">
        <v>269</v>
      </c>
      <c r="W5" t="s">
        <v>278</v>
      </c>
      <c r="Y5" t="s">
        <v>367</v>
      </c>
      <c r="Z5" t="s">
        <v>355</v>
      </c>
      <c r="AA5" t="s">
        <v>376</v>
      </c>
      <c r="AB5" t="s">
        <v>380</v>
      </c>
      <c r="AC5" t="s">
        <v>411</v>
      </c>
      <c r="AD5" s="10" t="s">
        <v>400</v>
      </c>
    </row>
    <row r="6" spans="1:33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474</v>
      </c>
      <c r="Q6" t="s">
        <v>276</v>
      </c>
      <c r="U6" s="10">
        <v>3.2</v>
      </c>
      <c r="V6" t="s">
        <v>277</v>
      </c>
      <c r="W6" t="s">
        <v>284</v>
      </c>
      <c r="Y6" t="s">
        <v>368</v>
      </c>
      <c r="AB6" t="s">
        <v>354</v>
      </c>
      <c r="AC6" t="s">
        <v>424</v>
      </c>
      <c r="AD6" s="10" t="s">
        <v>401</v>
      </c>
    </row>
    <row r="7" spans="1:33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10">
        <v>10</v>
      </c>
      <c r="V7" t="s">
        <v>283</v>
      </c>
      <c r="W7" t="s">
        <v>289</v>
      </c>
      <c r="Y7" t="s">
        <v>352</v>
      </c>
      <c r="AB7" t="s">
        <v>381</v>
      </c>
      <c r="AC7" t="s">
        <v>425</v>
      </c>
      <c r="AD7" s="10" t="s">
        <v>392</v>
      </c>
    </row>
    <row r="8" spans="1:33" x14ac:dyDescent="0.25">
      <c r="A8" t="s">
        <v>285</v>
      </c>
      <c r="E8" t="s">
        <v>286</v>
      </c>
      <c r="Q8" t="s">
        <v>287</v>
      </c>
      <c r="U8" s="10">
        <v>32</v>
      </c>
      <c r="V8" t="s">
        <v>288</v>
      </c>
      <c r="W8" t="s">
        <v>293</v>
      </c>
      <c r="Y8" t="s">
        <v>369</v>
      </c>
      <c r="AB8" t="s">
        <v>382</v>
      </c>
      <c r="AC8" t="s">
        <v>426</v>
      </c>
      <c r="AD8" s="10" t="s">
        <v>361</v>
      </c>
    </row>
    <row r="9" spans="1:33" x14ac:dyDescent="0.25">
      <c r="A9" t="s">
        <v>290</v>
      </c>
      <c r="E9" t="s">
        <v>291</v>
      </c>
      <c r="Q9" t="s">
        <v>243</v>
      </c>
      <c r="U9" s="10">
        <v>100</v>
      </c>
      <c r="V9" t="s">
        <v>292</v>
      </c>
      <c r="W9" t="s">
        <v>296</v>
      </c>
      <c r="Y9" t="s">
        <v>370</v>
      </c>
      <c r="AB9" t="s">
        <v>383</v>
      </c>
      <c r="AC9" t="s">
        <v>427</v>
      </c>
      <c r="AD9" s="10" t="s">
        <v>393</v>
      </c>
    </row>
    <row r="10" spans="1:33" x14ac:dyDescent="0.25">
      <c r="A10" t="s">
        <v>294</v>
      </c>
      <c r="E10" t="s">
        <v>295</v>
      </c>
      <c r="W10" t="s">
        <v>247</v>
      </c>
      <c r="Y10" t="s">
        <v>371</v>
      </c>
      <c r="AB10" t="s">
        <v>385</v>
      </c>
      <c r="AC10" t="s">
        <v>412</v>
      </c>
      <c r="AD10" s="10" t="s">
        <v>394</v>
      </c>
    </row>
    <row r="11" spans="1:33" x14ac:dyDescent="0.25">
      <c r="A11" s="6" t="s">
        <v>297</v>
      </c>
      <c r="AB11" t="s">
        <v>386</v>
      </c>
      <c r="AC11" t="s">
        <v>413</v>
      </c>
      <c r="AD11" s="10" t="s">
        <v>362</v>
      </c>
    </row>
    <row r="12" spans="1:33" x14ac:dyDescent="0.25">
      <c r="AC12" t="s">
        <v>414</v>
      </c>
      <c r="AD12" s="10" t="s">
        <v>395</v>
      </c>
    </row>
    <row r="13" spans="1:33" x14ac:dyDescent="0.25">
      <c r="AC13" t="s">
        <v>415</v>
      </c>
      <c r="AD13" s="10" t="s">
        <v>396</v>
      </c>
    </row>
    <row r="14" spans="1:33" x14ac:dyDescent="0.25">
      <c r="AC14" t="s">
        <v>416</v>
      </c>
      <c r="AD14" s="10" t="s">
        <v>397</v>
      </c>
    </row>
    <row r="15" spans="1:33" x14ac:dyDescent="0.25">
      <c r="AC15" t="s">
        <v>417</v>
      </c>
      <c r="AD15" s="10" t="s">
        <v>398</v>
      </c>
    </row>
    <row r="16" spans="1:33" x14ac:dyDescent="0.25">
      <c r="AC16" t="s">
        <v>418</v>
      </c>
      <c r="AD16" s="10" t="s">
        <v>363</v>
      </c>
    </row>
    <row r="17" spans="29:30" x14ac:dyDescent="0.25">
      <c r="AC17" t="s">
        <v>419</v>
      </c>
      <c r="AD17" s="10" t="s">
        <v>391</v>
      </c>
    </row>
    <row r="18" spans="29:30" x14ac:dyDescent="0.25">
      <c r="AC18" t="s">
        <v>420</v>
      </c>
      <c r="AD18" s="10" t="s">
        <v>364</v>
      </c>
    </row>
    <row r="19" spans="29:30" x14ac:dyDescent="0.25">
      <c r="AC19" t="s">
        <v>421</v>
      </c>
    </row>
    <row r="20" spans="29:30" x14ac:dyDescent="0.25">
      <c r="AC20" t="s">
        <v>422</v>
      </c>
    </row>
    <row r="21" spans="29:30" x14ac:dyDescent="0.25">
      <c r="AC21" t="s">
        <v>423</v>
      </c>
    </row>
    <row r="22" spans="29:30" x14ac:dyDescent="0.25">
      <c r="AC22" t="s">
        <v>428</v>
      </c>
    </row>
    <row r="23" spans="29:30" x14ac:dyDescent="0.25">
      <c r="AC23" t="s">
        <v>429</v>
      </c>
    </row>
    <row r="24" spans="29:30" x14ac:dyDescent="0.25">
      <c r="AC24" t="s">
        <v>430</v>
      </c>
    </row>
    <row r="25" spans="29:30" x14ac:dyDescent="0.25">
      <c r="AC25" t="s">
        <v>431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Daten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Goerlich, Vincent (VincGoer14)</cp:lastModifiedBy>
  <dcterms:created xsi:type="dcterms:W3CDTF">2021-07-27T08:53:06Z</dcterms:created>
  <dcterms:modified xsi:type="dcterms:W3CDTF">2023-11-26T14:30:36Z</dcterms:modified>
</cp:coreProperties>
</file>